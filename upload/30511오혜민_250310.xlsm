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O16" i="11" l="1"/>
  <c r="D5" i="11"/>
  <c r="B8" i="11" s="1"/>
  <c r="F5" i="11"/>
  <c r="G4" i="11"/>
  <c r="H4" i="11" s="1"/>
  <c r="O7" i="11" l="1"/>
  <c r="O19" i="11"/>
  <c r="O18" i="11"/>
  <c r="O17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<sst xmlns="http://schemas.openxmlformats.org/spreadsheetml/2006/main" count="25" uniqueCount="24">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</sst>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213360</xdr:rowOff>
        </xdr:from>
        <xdr:to>
          <xdr:col>6</xdr:col>
          <xdr:colOff>0</xdr:colOff>
          <xdr:row>2</xdr:row>
          <xdr:rowOff>228600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>
      <selection activeCell="B8" sqref="B8"/>
    </sheetView>
  </sheetViews>
  <sheetFormatPr defaultRowHeight="17.399999999999999"/>
  <cols>
    <col min="1" max="1" width="5" customWidth="1"/>
    <col min="2" max="6" width="11.8984375" customWidth="1"/>
    <col min="7" max="7" width="15.796875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8" t="s">
        <v>6</v>
      </c>
      <c r="N2" s="8"/>
    </row>
    <row r="3" spans="2:16" ht="18" customHeight="1">
      <c r="B3" s="12" t="s">
        <v>5</v>
      </c>
      <c r="C3" s="13">
        <v>2025</v>
      </c>
      <c r="D3" s="14"/>
      <c r="E3" s="12" t="s">
        <v>6</v>
      </c>
      <c r="F3" s="12">
        <v>3</v>
      </c>
      <c r="G3" s="14"/>
      <c r="H3" s="14"/>
      <c r="M3">
        <v>1</v>
      </c>
    </row>
    <row r="4" spans="2:16" ht="18" customHeight="1">
      <c r="F4" s="15"/>
      <c r="G4" s="17">
        <f ca="1">TODAY()</f>
        <v>45726</v>
      </c>
      <c r="H4" s="16" t="str">
        <f ca="1">CHOOSE(WEEKDAY(G4,2),"월요일","화요일","수요일","목요일","금요일","토요일","일요일")</f>
        <v>월요일</v>
      </c>
      <c r="M4">
        <v>2</v>
      </c>
    </row>
    <row r="5" spans="2:16" ht="35.25" customHeight="1">
      <c r="C5" s="1"/>
      <c r="D5" s="9">
        <f>C3</f>
        <v>2025</v>
      </c>
      <c r="E5" s="11" t="s">
        <v>21</v>
      </c>
      <c r="F5" s="10">
        <f>F3</f>
        <v>3</v>
      </c>
      <c r="G5" s="18" t="s">
        <v>22</v>
      </c>
      <c r="H5" s="18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6" t="s">
        <v>16</v>
      </c>
      <c r="C7" s="7" t="s">
        <v>0</v>
      </c>
      <c r="D7" s="7" t="s">
        <v>1</v>
      </c>
      <c r="E7" s="7" t="s">
        <v>2</v>
      </c>
      <c r="F7" s="7" t="s">
        <v>3</v>
      </c>
      <c r="G7" s="7" t="s">
        <v>4</v>
      </c>
      <c r="H7" s="5" t="s">
        <v>15</v>
      </c>
      <c r="M7">
        <v>5</v>
      </c>
      <c r="O7" s="3">
        <f>DATE($D$5,1,1)</f>
        <v>45658</v>
      </c>
      <c r="P7" s="4" t="s">
        <v>17</v>
      </c>
    </row>
    <row r="8" spans="2:16" ht="18" customHeight="1" thickBot="1">
      <c r="B8" s="29">
        <f>DATE(D5,F5,1)-WEEKDAY(DATE(D5,F5,1),2)</f>
        <v>45711</v>
      </c>
      <c r="C8" s="30"/>
      <c r="D8" s="30"/>
      <c r="E8" s="30"/>
      <c r="F8" s="30"/>
      <c r="G8" s="30"/>
      <c r="H8" s="30"/>
      <c r="M8">
        <v>6</v>
      </c>
      <c r="O8" s="3">
        <f>DATE($D$5,2,19)</f>
        <v>45707</v>
      </c>
      <c r="P8" s="4" t="s">
        <v>19</v>
      </c>
    </row>
    <row r="9" spans="2:16" ht="18" customHeight="1">
      <c r="B9" s="19"/>
      <c r="C9" s="19"/>
      <c r="D9" s="19"/>
      <c r="E9" s="19"/>
      <c r="F9" s="22"/>
      <c r="G9" s="22"/>
      <c r="H9" s="19"/>
      <c r="M9">
        <v>7</v>
      </c>
      <c r="O9" s="3">
        <f>DATE($D$5,3,1)</f>
        <v>45717</v>
      </c>
      <c r="P9" s="4" t="s">
        <v>7</v>
      </c>
    </row>
    <row r="10" spans="2:16" ht="18" customHeight="1">
      <c r="B10" s="20"/>
      <c r="C10" s="20"/>
      <c r="D10" s="20"/>
      <c r="E10" s="20"/>
      <c r="F10" s="23"/>
      <c r="G10" s="23"/>
      <c r="H10" s="20"/>
      <c r="M10">
        <v>8</v>
      </c>
      <c r="O10" s="3">
        <f>DATE($D$5,4,5)</f>
        <v>45752</v>
      </c>
      <c r="P10" s="4" t="s">
        <v>8</v>
      </c>
    </row>
    <row r="11" spans="2:16" ht="18" customHeight="1" thickBot="1">
      <c r="B11" s="21"/>
      <c r="C11" s="21"/>
      <c r="D11" s="21"/>
      <c r="E11" s="21"/>
      <c r="F11" s="24"/>
      <c r="G11" s="24"/>
      <c r="H11" s="21"/>
      <c r="M11">
        <v>9</v>
      </c>
      <c r="O11" s="3">
        <f>DATE($D$5,5,5)</f>
        <v>45782</v>
      </c>
      <c r="P11" s="4" t="s">
        <v>9</v>
      </c>
    </row>
    <row r="12" spans="2:16" ht="18" customHeight="1" thickBot="1">
      <c r="B12" s="31"/>
      <c r="C12" s="31"/>
      <c r="D12" s="31"/>
      <c r="E12" s="31"/>
      <c r="F12" s="31"/>
      <c r="G12" s="31"/>
      <c r="H12" s="31"/>
      <c r="M12">
        <v>10</v>
      </c>
      <c r="O12" s="3">
        <f>DATE($D$5,5,15)</f>
        <v>45792</v>
      </c>
      <c r="P12" s="4" t="s">
        <v>10</v>
      </c>
    </row>
    <row r="13" spans="2:16" ht="18" customHeight="1">
      <c r="B13" s="19"/>
      <c r="C13" s="19"/>
      <c r="D13" s="19"/>
      <c r="E13" s="19"/>
      <c r="F13" s="22"/>
      <c r="G13" s="19"/>
      <c r="H13" s="19"/>
      <c r="M13">
        <v>11</v>
      </c>
      <c r="O13" s="3">
        <f>DATE($D$5,6,6)</f>
        <v>45814</v>
      </c>
      <c r="P13" s="4" t="s">
        <v>11</v>
      </c>
    </row>
    <row r="14" spans="2:16" ht="18" customHeight="1">
      <c r="B14" s="20"/>
      <c r="C14" s="20"/>
      <c r="D14" s="20"/>
      <c r="E14" s="20"/>
      <c r="F14" s="23"/>
      <c r="G14" s="20"/>
      <c r="H14" s="20"/>
      <c r="M14">
        <v>12</v>
      </c>
      <c r="O14" s="3">
        <f>DATE($D$5,7,17)</f>
        <v>45855</v>
      </c>
      <c r="P14" s="4" t="s">
        <v>12</v>
      </c>
    </row>
    <row r="15" spans="2:16" ht="18" customHeight="1" thickBot="1">
      <c r="B15" s="21"/>
      <c r="C15" s="21"/>
      <c r="D15" s="21"/>
      <c r="E15" s="21"/>
      <c r="F15" s="24"/>
      <c r="G15" s="21"/>
      <c r="H15" s="21"/>
      <c r="O15" s="3">
        <f>DATE($D$5,8,15)</f>
        <v>45884</v>
      </c>
      <c r="P15" s="4" t="s">
        <v>13</v>
      </c>
    </row>
    <row r="16" spans="2:16" ht="18" customHeight="1" thickBot="1">
      <c r="B16" s="31"/>
      <c r="C16" s="31"/>
      <c r="D16" s="31"/>
      <c r="E16" s="31"/>
      <c r="F16" s="31"/>
      <c r="G16" s="31"/>
      <c r="H16" s="31"/>
      <c r="O16" s="3">
        <f>DATE($D$5,9,27)</f>
        <v>45927</v>
      </c>
      <c r="P16" s="4" t="s">
        <v>18</v>
      </c>
    </row>
    <row r="17" spans="2:16" ht="18" customHeight="1">
      <c r="B17" s="19"/>
      <c r="C17" s="22"/>
      <c r="D17" s="19"/>
      <c r="E17" s="19"/>
      <c r="F17" s="19"/>
      <c r="G17" s="19"/>
      <c r="H17" s="19"/>
      <c r="O17" s="3">
        <f>DATE($D$5,10,1)</f>
        <v>45931</v>
      </c>
      <c r="P17" s="4" t="s">
        <v>14</v>
      </c>
    </row>
    <row r="18" spans="2:16" ht="18" customHeight="1">
      <c r="B18" s="20"/>
      <c r="C18" s="23"/>
      <c r="D18" s="20"/>
      <c r="E18" s="20"/>
      <c r="F18" s="20"/>
      <c r="G18" s="20"/>
      <c r="H18" s="20"/>
      <c r="O18" s="3">
        <f>DATE($D$5,10,3)</f>
        <v>45933</v>
      </c>
      <c r="P18" s="4" t="s">
        <v>20</v>
      </c>
    </row>
    <row r="19" spans="2:16" ht="18" customHeight="1" thickBot="1">
      <c r="B19" s="20"/>
      <c r="C19" s="23"/>
      <c r="D19" s="20"/>
      <c r="E19" s="20"/>
      <c r="F19" s="20"/>
      <c r="G19" s="20"/>
      <c r="H19" s="20"/>
      <c r="O19" s="3">
        <f>DATE($D$5,12,25)</f>
        <v>46016</v>
      </c>
      <c r="P19" s="4" t="s">
        <v>23</v>
      </c>
    </row>
    <row r="20" spans="2:16" ht="18" customHeight="1" thickBot="1">
      <c r="B20" s="31"/>
      <c r="C20" s="31"/>
      <c r="D20" s="31"/>
      <c r="E20" s="31"/>
      <c r="F20" s="31"/>
      <c r="G20" s="31"/>
      <c r="H20" s="31"/>
    </row>
    <row r="21" spans="2:16" ht="18" customHeight="1">
      <c r="B21" s="19"/>
      <c r="C21" s="27"/>
      <c r="D21" s="22"/>
      <c r="E21" s="22"/>
      <c r="F21" s="22"/>
      <c r="G21" s="22"/>
      <c r="H21" s="25"/>
    </row>
    <row r="22" spans="2:16" ht="18" customHeight="1">
      <c r="B22" s="20"/>
      <c r="C22" s="28"/>
      <c r="D22" s="23"/>
      <c r="E22" s="23"/>
      <c r="F22" s="23"/>
      <c r="G22" s="23"/>
      <c r="H22" s="26"/>
    </row>
    <row r="23" spans="2:16" ht="18" customHeight="1" thickBot="1">
      <c r="B23" s="20"/>
      <c r="C23" s="28"/>
      <c r="D23" s="23"/>
      <c r="E23" s="23"/>
      <c r="F23" s="23"/>
      <c r="G23" s="23"/>
      <c r="H23" s="26"/>
    </row>
    <row r="24" spans="2:16" ht="18" customHeight="1" thickBot="1">
      <c r="B24" s="31"/>
      <c r="C24" s="31"/>
      <c r="D24" s="31"/>
      <c r="E24" s="31"/>
      <c r="F24" s="31"/>
      <c r="G24" s="31"/>
      <c r="H24" s="31"/>
    </row>
    <row r="25" spans="2:16" ht="18" customHeight="1">
      <c r="B25" s="19"/>
      <c r="C25" s="19"/>
      <c r="D25" s="19"/>
      <c r="E25" s="19"/>
      <c r="F25" s="22"/>
      <c r="G25" s="19"/>
      <c r="H25" s="19"/>
    </row>
    <row r="26" spans="2:16" ht="18" customHeight="1">
      <c r="B26" s="20"/>
      <c r="C26" s="20"/>
      <c r="D26" s="20"/>
      <c r="E26" s="20"/>
      <c r="F26" s="23"/>
      <c r="G26" s="20"/>
      <c r="H26" s="20"/>
    </row>
    <row r="27" spans="2:16" ht="18" customHeight="1" thickBot="1">
      <c r="B27" s="21"/>
      <c r="C27" s="21"/>
      <c r="D27" s="21"/>
      <c r="E27" s="21"/>
      <c r="F27" s="24"/>
      <c r="G27" s="21"/>
      <c r="H27" s="21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213360</xdr:rowOff>
                  </from>
                  <to>
                    <xdr:col>6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2025-03-10T06:07:22Z</dcterms:modified>
</cp:coreProperties>
</file>