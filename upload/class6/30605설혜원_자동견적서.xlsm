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590D979A-7EC9-47D0-9EFD-2321969627E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6" l="1"/>
  <c r="G14" i="6"/>
  <c r="G15" i="6"/>
  <c r="G16" i="6"/>
  <c r="G17" i="6"/>
  <c r="G18" i="6"/>
  <c r="G19" i="6"/>
  <c r="G20" i="6"/>
  <c r="G21" i="6"/>
  <c r="G22" i="6"/>
  <c r="G23" i="6"/>
  <c r="G24" i="6"/>
  <c r="G12" i="6"/>
  <c r="E14" i="6"/>
  <c r="H14" i="6" s="1"/>
  <c r="E13" i="6"/>
  <c r="H13" i="6" s="1"/>
  <c r="E15" i="6"/>
  <c r="H15" i="6" s="1"/>
  <c r="E16" i="6"/>
  <c r="H16" i="6" s="1"/>
  <c r="E17" i="6"/>
  <c r="H17" i="6" s="1"/>
  <c r="E18" i="6"/>
  <c r="E19" i="6"/>
  <c r="H19" i="6" s="1"/>
  <c r="E20" i="6"/>
  <c r="H20" i="6" s="1"/>
  <c r="E21" i="6"/>
  <c r="H21" i="6" s="1"/>
  <c r="E22" i="6"/>
  <c r="E23" i="6"/>
  <c r="H23" i="6" s="1"/>
  <c r="E24" i="6"/>
  <c r="H24" i="6" s="1"/>
  <c r="E25" i="6"/>
  <c r="E26" i="6"/>
  <c r="H26" i="6" s="1"/>
  <c r="E27" i="6"/>
  <c r="H27" i="6" s="1"/>
  <c r="E28" i="6"/>
  <c r="H28" i="6" s="1"/>
  <c r="E12" i="6"/>
  <c r="H12" i="6" s="1"/>
  <c r="C20" i="6"/>
  <c r="C21" i="6"/>
  <c r="C22" i="6"/>
  <c r="C23" i="6"/>
  <c r="C24" i="6"/>
  <c r="C25" i="6"/>
  <c r="C26" i="6"/>
  <c r="C27" i="6"/>
  <c r="C28" i="6"/>
  <c r="C29" i="6"/>
  <c r="C30" i="6"/>
  <c r="C13" i="6"/>
  <c r="C14" i="6"/>
  <c r="C15" i="6"/>
  <c r="C16" i="6"/>
  <c r="C17" i="6"/>
  <c r="C18" i="6"/>
  <c r="C19" i="6"/>
  <c r="C12" i="6"/>
  <c r="H34" i="6"/>
  <c r="H18" i="6"/>
  <c r="H22" i="6"/>
  <c r="H25" i="6"/>
  <c r="A6" i="6"/>
  <c r="F39" i="6" s="1"/>
  <c r="G25" i="6"/>
  <c r="G26" i="6"/>
  <c r="G27" i="6"/>
  <c r="G28" i="6"/>
  <c r="G29" i="6"/>
  <c r="G30" i="6"/>
  <c r="E29" i="6"/>
  <c r="H29" i="6" s="1"/>
  <c r="E30" i="6"/>
  <c r="H30" i="6" s="1"/>
  <c r="H32" i="6" l="1"/>
  <c r="H33" i="6" s="1"/>
  <c r="H35" i="6" l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<sst xmlns="http://schemas.openxmlformats.org/spreadsheetml/2006/main" count="59" uniqueCount="50">
  <si>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</si>
  <si>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</si>
  <si>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</si>
  <si>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</si>
  <si>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</si>
  <si>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</si>
  <si>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</si>
  <si>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</si>
  <si>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</si>
  <si>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</si>
  <si>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</si>
  <si>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</si>
  <si>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</si>
  <si>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</si>
  <si>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</si>
  <si>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</si>
  <si>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</si>
  <si>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</si>
  <si>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</si>
  <si>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</si>
  <si>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</si>
  <si>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</si>
  <si>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</si>
  <si>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</si>
  <si>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</si>
  <si>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</si>
  <si>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</si>
  <si>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</si>
  <si>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</si>
  <si>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</si>
  <si>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</si>
  <si>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</si>
  <si>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</si>
  <si>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</si>
  <si>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</si>
  <si>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</si>
  <si>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</si>
  <si>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</si>
  <si>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 xml:space="preserve">영신청과회상회 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</si>
  <si>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</si>
  <si>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</si>
  <si>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</si>
  <si>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</si>
  <si>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</si>
  <si>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(02) 000-0000</t>
    <phoneticPr fontId="2" type="noConversion"/>
  </si>
  <si>
    <t>서울시 노원구 상계9동</t>
    <phoneticPr fontId="2" type="noConversion"/>
  </si>
  <si>
    <t>보람청과</t>
    <phoneticPr fontId="2" type="noConversion"/>
  </si>
  <si>
    <t>성명</t>
    <phoneticPr fontId="2" type="noConversion"/>
  </si>
  <si>
    <t>홍길동</t>
    <phoneticPr fontId="2" type="noConversion"/>
  </si>
  <si>
    <t>123-00-00000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</si>
</sst>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2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179" fontId="11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82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67E1D4D-EC62-41D8-97D5-F4C4A96BBE18}"/>
            </a:ext>
          </a:extLst>
        </xdr:cNvPr>
        <xdr:cNvSpPr/>
      </xdr:nvSpPr>
      <xdr:spPr>
        <a:xfrm>
          <a:off x="205740" y="0"/>
          <a:ext cx="445008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600">
              <a:latin typeface="돋움" panose="020B0600000101010101" pitchFamily="50" charset="-127"/>
              <a:ea typeface="돋움" panose="020B0600000101010101" pitchFamily="50" charset="-127"/>
            </a:rPr>
            <a:t>♣견적서</a:t>
          </a:r>
          <a:r>
            <a:rPr lang="ko-KR" altLang="ko-KR" sz="3600">
              <a:solidFill>
                <a:schemeClr val="lt1"/>
              </a:solidFill>
              <a:effectLst/>
              <a:latin typeface="돋움" panose="020B0600000101010101" pitchFamily="50" charset="-127"/>
              <a:ea typeface="돋움" panose="020B0600000101010101" pitchFamily="50" charset="-127"/>
              <a:cs typeface="+mn-cs"/>
            </a:rPr>
            <a:t>♣</a:t>
          </a:r>
          <a:endParaRPr lang="ko-KR" altLang="en-US" sz="3600">
            <a:latin typeface="돋움" panose="020B0600000101010101" pitchFamily="50" charset="-127"/>
            <a:ea typeface="돋움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 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D12" sqref="D12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5" t="s">
        <v>0</v>
      </c>
      <c r="C2" s="66"/>
      <c r="D2" s="66"/>
      <c r="E2" s="67"/>
      <c r="H2" s="65" t="s">
        <v>1</v>
      </c>
      <c r="I2" s="67"/>
    </row>
    <row r="3" spans="2:9">
      <c r="B3" s="24"/>
      <c r="C3" s="25"/>
      <c r="D3" s="25"/>
      <c r="E3" s="26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5"/>
      <c r="H4" s="3" t="s">
        <v>6</v>
      </c>
      <c r="I4" s="5" t="s">
        <v>7</v>
      </c>
    </row>
    <row r="5" spans="2:9">
      <c r="B5" s="21">
        <v>101</v>
      </c>
      <c r="C5" s="27" t="s">
        <v>8</v>
      </c>
      <c r="D5" s="27" t="s">
        <v>9</v>
      </c>
      <c r="E5" s="28">
        <v>60000</v>
      </c>
      <c r="G5" s="31">
        <v>0</v>
      </c>
      <c r="H5" s="33" t="s">
        <v>10</v>
      </c>
      <c r="I5" s="32">
        <v>5000</v>
      </c>
    </row>
    <row r="6" spans="2:9">
      <c r="B6" s="21">
        <v>102</v>
      </c>
      <c r="C6" s="27" t="s">
        <v>11</v>
      </c>
      <c r="D6" s="27" t="s">
        <v>12</v>
      </c>
      <c r="E6" s="28">
        <v>1500</v>
      </c>
      <c r="G6" s="31">
        <v>30000</v>
      </c>
      <c r="H6" s="33" t="s">
        <v>13</v>
      </c>
      <c r="I6" s="34">
        <v>3000</v>
      </c>
    </row>
    <row r="7" spans="2:9" ht="18" thickBot="1">
      <c r="B7" s="21">
        <v>103</v>
      </c>
      <c r="C7" s="27" t="s">
        <v>14</v>
      </c>
      <c r="D7" s="27" t="s">
        <v>15</v>
      </c>
      <c r="E7" s="28">
        <v>12500</v>
      </c>
      <c r="G7" s="31">
        <v>100000</v>
      </c>
      <c r="H7" s="35" t="s">
        <v>16</v>
      </c>
      <c r="I7" s="30">
        <v>0</v>
      </c>
    </row>
    <row r="8" spans="2:9">
      <c r="B8" s="21">
        <v>104</v>
      </c>
      <c r="C8" s="27" t="s">
        <v>17</v>
      </c>
      <c r="D8" s="27" t="s">
        <v>12</v>
      </c>
      <c r="E8" s="28">
        <v>5000</v>
      </c>
      <c r="H8" s="18"/>
      <c r="I8" s="19"/>
    </row>
    <row r="9" spans="2:9">
      <c r="B9" s="21">
        <v>105</v>
      </c>
      <c r="C9" s="27" t="s">
        <v>18</v>
      </c>
      <c r="D9" s="27" t="s">
        <v>12</v>
      </c>
      <c r="E9" s="28">
        <v>3400</v>
      </c>
    </row>
    <row r="10" spans="2:9">
      <c r="B10" s="21">
        <v>106</v>
      </c>
      <c r="C10" s="27" t="s">
        <v>19</v>
      </c>
      <c r="D10" s="27" t="s">
        <v>12</v>
      </c>
      <c r="E10" s="28">
        <v>1800</v>
      </c>
    </row>
    <row r="11" spans="2:9">
      <c r="B11" s="21">
        <v>107</v>
      </c>
      <c r="C11" s="27" t="s">
        <v>20</v>
      </c>
      <c r="D11" s="27" t="s">
        <v>12</v>
      </c>
      <c r="E11" s="28">
        <v>800</v>
      </c>
    </row>
    <row r="12" spans="2:9">
      <c r="B12" s="21">
        <v>108</v>
      </c>
      <c r="C12" s="27" t="s">
        <v>21</v>
      </c>
      <c r="D12" s="27" t="s">
        <v>9</v>
      </c>
      <c r="E12" s="28">
        <v>60000</v>
      </c>
    </row>
    <row r="13" spans="2:9">
      <c r="B13" s="21">
        <v>109</v>
      </c>
      <c r="C13" s="27" t="s">
        <v>22</v>
      </c>
      <c r="D13" s="27" t="s">
        <v>12</v>
      </c>
      <c r="E13" s="28">
        <v>980</v>
      </c>
    </row>
    <row r="14" spans="2:9" ht="18" thickBot="1">
      <c r="B14" s="22">
        <v>110</v>
      </c>
      <c r="C14" s="29" t="s">
        <v>23</v>
      </c>
      <c r="D14" s="29" t="s">
        <v>12</v>
      </c>
      <c r="E14" s="30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10" zoomScale="85" zoomScaleNormal="85" workbookViewId="0">
      <selection activeCell="H35" sqref="H35"/>
    </sheetView>
  </sheetViews>
  <sheetFormatPr defaultRowHeight="14.4"/>
  <cols>
    <col min="1" max="1" width="2.69921875" style="6" customWidth="1"/>
    <col min="2" max="2" width="17.89843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A5" s="79" t="s">
        <v>38</v>
      </c>
      <c r="B5" s="79"/>
      <c r="C5" s="80"/>
      <c r="D5" s="68" t="s">
        <v>39</v>
      </c>
      <c r="E5" s="9" t="s">
        <v>40</v>
      </c>
      <c r="F5" s="87" t="s">
        <v>49</v>
      </c>
      <c r="G5" s="88"/>
      <c r="H5" s="89"/>
      <c r="I5" s="59"/>
    </row>
    <row r="6" spans="1:52" ht="42.6" customHeight="1">
      <c r="A6" s="77">
        <f ca="1">TODAY()</f>
        <v>45747</v>
      </c>
      <c r="B6" s="77"/>
      <c r="C6" s="78"/>
      <c r="D6" s="69"/>
      <c r="E6" s="10" t="s">
        <v>41</v>
      </c>
      <c r="F6" s="11" t="s">
        <v>46</v>
      </c>
      <c r="G6" s="11" t="s">
        <v>47</v>
      </c>
      <c r="H6" s="12" t="s">
        <v>48</v>
      </c>
      <c r="I6" s="60"/>
    </row>
    <row r="7" spans="1:52" ht="16.5" customHeight="1">
      <c r="B7" s="13"/>
      <c r="C7" s="13"/>
      <c r="D7" s="69"/>
      <c r="E7" s="11" t="s">
        <v>42</v>
      </c>
      <c r="F7" s="71" t="s">
        <v>45</v>
      </c>
      <c r="G7" s="72"/>
      <c r="H7" s="73"/>
      <c r="I7" s="60"/>
    </row>
    <row r="8" spans="1:52" ht="16.5" customHeight="1" thickBot="1">
      <c r="B8" s="14"/>
      <c r="C8" s="14"/>
      <c r="D8" s="70"/>
      <c r="E8" s="20" t="s">
        <v>43</v>
      </c>
      <c r="F8" s="74" t="s">
        <v>44</v>
      </c>
      <c r="G8" s="75"/>
      <c r="H8" s="76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3"/>
      <c r="D10" s="36" t="s">
        <v>24</v>
      </c>
      <c r="E10" s="92">
        <f>H35</f>
        <v>96096</v>
      </c>
      <c r="F10" s="92"/>
      <c r="G10" s="92"/>
      <c r="H10" s="37" t="s">
        <v>25</v>
      </c>
    </row>
    <row r="11" spans="1:52" ht="18" customHeight="1">
      <c r="B11" s="38" t="s">
        <v>26</v>
      </c>
      <c r="C11" s="90" t="s">
        <v>3</v>
      </c>
      <c r="D11" s="91"/>
      <c r="E11" s="64" t="s">
        <v>5</v>
      </c>
      <c r="F11" s="64" t="s">
        <v>27</v>
      </c>
      <c r="G11" s="64" t="s">
        <v>28</v>
      </c>
      <c r="H11" s="64" t="s">
        <v>29</v>
      </c>
      <c r="I11" s="61"/>
    </row>
    <row r="12" spans="1:52">
      <c r="B12" s="16">
        <v>102</v>
      </c>
      <c r="C12" s="85" t="str">
        <f>IFERROR(INDEX(상품목록,MATCH(B12,상품번호,0),2),"")</f>
        <v>토마토</v>
      </c>
      <c r="D12" s="86"/>
      <c r="E12" s="39">
        <f>IFERROR(INDEX(상품목록,MATCH(B12,상품번호,0),4),"")</f>
        <v>1500</v>
      </c>
      <c r="F12" s="40">
        <v>1</v>
      </c>
      <c r="G12" s="16" t="str">
        <f>IFERROR(INDEX(상품목록,MATCH(B12,상품번호,0),3),"")</f>
        <v>Kg</v>
      </c>
      <c r="H12" s="41">
        <f>IFERROR(E12*F12,"")</f>
        <v>1500</v>
      </c>
      <c r="I12" s="61"/>
    </row>
    <row r="13" spans="1:52">
      <c r="B13" s="16">
        <v>103</v>
      </c>
      <c r="C13" s="85" t="str">
        <f>IFERROR(INDEX(상품목록,MATCH(B13,상품번호,0),2),"")</f>
        <v>수박</v>
      </c>
      <c r="D13" s="86"/>
      <c r="E13" s="39">
        <f>IFERROR(INDEX(상품목록,MATCH(B13,상품번호,0),4),"")</f>
        <v>12500</v>
      </c>
      <c r="F13" s="40">
        <v>1</v>
      </c>
      <c r="G13" s="16" t="str">
        <f>IFERROR(INDEX(상품목록,MATCH(B13,상품번호,0),3),"")</f>
        <v>개당</v>
      </c>
      <c r="H13" s="41">
        <f>IFERROR(E13*F13,"")</f>
        <v>12500</v>
      </c>
      <c r="I13" s="61"/>
    </row>
    <row r="14" spans="1:52">
      <c r="B14" s="16">
        <v>104</v>
      </c>
      <c r="C14" s="85" t="str">
        <f>IFERROR(INDEX(상품목록,MATCH(B14,상품번호,0),2),"")</f>
        <v>딸기</v>
      </c>
      <c r="D14" s="86"/>
      <c r="E14" s="39">
        <f>IFERROR(INDEX(상품목록,MATCH(B14,상품번호,0),4),"")</f>
        <v>5000</v>
      </c>
      <c r="F14" s="42">
        <v>1</v>
      </c>
      <c r="G14" s="16" t="str">
        <f>IFERROR(INDEX(상품목록,MATCH(B14,상품번호,0),3),"")</f>
        <v>Kg</v>
      </c>
      <c r="H14" s="41">
        <f t="shared" ref="H13:H19" si="0">IFERROR(E14*F14,"")</f>
        <v>5000</v>
      </c>
      <c r="I14" s="61"/>
    </row>
    <row r="15" spans="1:52">
      <c r="B15" s="16">
        <v>105</v>
      </c>
      <c r="C15" s="85" t="str">
        <f>IFERROR(INDEX(상품목록,MATCH(B15,상품번호,0),2),"")</f>
        <v>참외</v>
      </c>
      <c r="D15" s="86"/>
      <c r="E15" s="39">
        <f>IFERROR(INDEX(상품목록,MATCH(B15,상품번호,0),4),"")</f>
        <v>3400</v>
      </c>
      <c r="F15" s="42">
        <v>1</v>
      </c>
      <c r="G15" s="16" t="str">
        <f>IFERROR(INDEX(상품목록,MATCH(B15,상품번호,0),3),"")</f>
        <v>Kg</v>
      </c>
      <c r="H15" s="41">
        <f t="shared" si="0"/>
        <v>3400</v>
      </c>
      <c r="I15" s="61"/>
    </row>
    <row r="16" spans="1:52">
      <c r="B16" s="16">
        <v>106</v>
      </c>
      <c r="C16" s="85" t="str">
        <f>IFERROR(INDEX(상품목록,MATCH(B16,상품번호,0),2),"")</f>
        <v>메론</v>
      </c>
      <c r="D16" s="86"/>
      <c r="E16" s="39">
        <f>IFERROR(INDEX(상품목록,MATCH(B16,상품번호,0),4),"")</f>
        <v>1800</v>
      </c>
      <c r="F16" s="42">
        <v>1</v>
      </c>
      <c r="G16" s="16" t="str">
        <f>IFERROR(INDEX(상품목록,MATCH(B16,상품번호,0),3),"")</f>
        <v>Kg</v>
      </c>
      <c r="H16" s="41">
        <f t="shared" si="0"/>
        <v>1800</v>
      </c>
      <c r="I16" s="61"/>
    </row>
    <row r="17" spans="2:12">
      <c r="B17" s="16">
        <v>107</v>
      </c>
      <c r="C17" s="85" t="str">
        <f>IFERROR(INDEX(상품목록,MATCH(B17,상품번호,0),2),"")</f>
        <v>양파</v>
      </c>
      <c r="D17" s="86"/>
      <c r="E17" s="39">
        <f>IFERROR(INDEX(상품목록,MATCH(B17,상품번호,0),4),"")</f>
        <v>800</v>
      </c>
      <c r="F17" s="42">
        <v>1</v>
      </c>
      <c r="G17" s="16" t="str">
        <f>IFERROR(INDEX(상품목록,MATCH(B17,상품번호,0),3),"")</f>
        <v>Kg</v>
      </c>
      <c r="H17" s="41">
        <f t="shared" si="0"/>
        <v>800</v>
      </c>
      <c r="I17" s="61"/>
    </row>
    <row r="18" spans="2:12">
      <c r="B18" s="16">
        <v>108</v>
      </c>
      <c r="C18" s="85" t="str">
        <f>IFERROR(INDEX(상품목록,MATCH(B18,상품번호,0),2),"")</f>
        <v>버섯</v>
      </c>
      <c r="D18" s="86"/>
      <c r="E18" s="39">
        <f>IFERROR(INDEX(상품목록,MATCH(B18,상품번호,0),4),"")</f>
        <v>60000</v>
      </c>
      <c r="F18" s="42">
        <v>1</v>
      </c>
      <c r="G18" s="16" t="str">
        <f>IFERROR(INDEX(상품목록,MATCH(B18,상품번호,0),3),"")</f>
        <v>Box</v>
      </c>
      <c r="H18" s="41">
        <f t="shared" si="0"/>
        <v>60000</v>
      </c>
      <c r="I18" s="61"/>
    </row>
    <row r="19" spans="2:12">
      <c r="B19" s="16">
        <v>109</v>
      </c>
      <c r="C19" s="85" t="str">
        <f>IFERROR(INDEX(상품목록,MATCH(B19,상품번호,0),2),"")</f>
        <v>감자</v>
      </c>
      <c r="D19" s="86"/>
      <c r="E19" s="39">
        <f>IFERROR(INDEX(상품목록,MATCH(B19,상품번호,0),4),"")</f>
        <v>980</v>
      </c>
      <c r="F19" s="42">
        <v>1</v>
      </c>
      <c r="G19" s="16" t="str">
        <f>IFERROR(INDEX(상품목록,MATCH(B19,상품번호,0),3),"")</f>
        <v>Kg</v>
      </c>
      <c r="H19" s="41">
        <f t="shared" si="0"/>
        <v>980</v>
      </c>
      <c r="I19" s="61"/>
    </row>
    <row r="20" spans="2:12">
      <c r="B20" s="16">
        <v>110</v>
      </c>
      <c r="C20" s="85" t="str">
        <f>IFERROR(INDEX(상품목록,MATCH(B20,상품번호,0),2),"")</f>
        <v>고구마</v>
      </c>
      <c r="D20" s="86"/>
      <c r="E20" s="39">
        <f>IFERROR(INDEX(상품목록,MATCH(B20,상품번호,0),4),"")</f>
        <v>1380</v>
      </c>
      <c r="F20" s="42">
        <v>1</v>
      </c>
      <c r="G20" s="16" t="str">
        <f>IFERROR(INDEX(상품목록,MATCH(B20,상품번호,0),3),"")</f>
        <v>Kg</v>
      </c>
      <c r="H20" s="41">
        <f t="shared" ref="H13:H30" si="1">IFERROR(E20*F20,"")</f>
        <v>1380</v>
      </c>
      <c r="I20" s="61"/>
    </row>
    <row r="21" spans="2:12">
      <c r="B21" s="16">
        <v>111</v>
      </c>
      <c r="C21" s="85" t="str">
        <f>IFERROR(INDEX(상품목록,MATCH(B21,상품번호,0),2),"")</f>
        <v/>
      </c>
      <c r="D21" s="86"/>
      <c r="E21" s="39" t="str">
        <f>IFERROR(INDEX(상품목록,MATCH(B21,상품번호,0),4),"")</f>
        <v/>
      </c>
      <c r="F21" s="42"/>
      <c r="G21" s="16" t="str">
        <f>IFERROR(INDEX(상품목록,MATCH(B21,상품번호,0),3),"")</f>
        <v/>
      </c>
      <c r="H21" s="41" t="str">
        <f t="shared" si="1"/>
        <v/>
      </c>
      <c r="I21" s="61"/>
    </row>
    <row r="22" spans="2:12">
      <c r="B22" s="16">
        <v>112</v>
      </c>
      <c r="C22" s="85" t="str">
        <f>IFERROR(INDEX(상품목록,MATCH(B22,상품번호,0),2),"")</f>
        <v/>
      </c>
      <c r="D22" s="86"/>
      <c r="E22" s="39" t="str">
        <f>IFERROR(INDEX(상품목록,MATCH(B22,상품번호,0),4),"")</f>
        <v/>
      </c>
      <c r="F22" s="42"/>
      <c r="G22" s="16" t="str">
        <f>IFERROR(INDEX(상품목록,MATCH(B22,상품번호,0),3),"")</f>
        <v/>
      </c>
      <c r="H22" s="41" t="str">
        <f t="shared" si="1"/>
        <v/>
      </c>
      <c r="I22" s="61"/>
    </row>
    <row r="23" spans="2:12">
      <c r="B23" s="16">
        <v>113</v>
      </c>
      <c r="C23" s="85" t="str">
        <f>IFERROR(INDEX(상품목록,MATCH(B23,상품번호,0),2),"")</f>
        <v/>
      </c>
      <c r="D23" s="86"/>
      <c r="E23" s="39" t="str">
        <f>IFERROR(INDEX(상품목록,MATCH(B23,상품번호,0),4),"")</f>
        <v/>
      </c>
      <c r="F23" s="42"/>
      <c r="G23" s="16" t="str">
        <f>IFERROR(INDEX(상품목록,MATCH(B23,상품번호,0),3),"")</f>
        <v/>
      </c>
      <c r="H23" s="41" t="str">
        <f t="shared" si="1"/>
        <v/>
      </c>
      <c r="I23" s="61"/>
    </row>
    <row r="24" spans="2:12">
      <c r="B24" s="16">
        <v>114</v>
      </c>
      <c r="C24" s="85" t="str">
        <f>IFERROR(INDEX(상품목록,MATCH(B24,상품번호,0),2),"")</f>
        <v/>
      </c>
      <c r="D24" s="86"/>
      <c r="E24" s="39" t="str">
        <f>IFERROR(INDEX(상품목록,MATCH(B24,상품번호,0),4),"")</f>
        <v/>
      </c>
      <c r="F24" s="42"/>
      <c r="G24" s="16" t="str">
        <f>IFERROR(INDEX(상품목록,MATCH(B24,상품번호,0),3),"")</f>
        <v/>
      </c>
      <c r="H24" s="41" t="str">
        <f t="shared" si="1"/>
        <v/>
      </c>
      <c r="I24" s="61"/>
    </row>
    <row r="25" spans="2:12">
      <c r="B25" s="16">
        <v>115</v>
      </c>
      <c r="C25" s="85" t="str">
        <f>IFERROR(INDEX(상품목록,MATCH(B25,상품번호,0),2),"")</f>
        <v/>
      </c>
      <c r="D25" s="86"/>
      <c r="E25" s="39" t="str">
        <f>IFERROR(INDEX(상품목록,MATCH(B25,상품번호,0),4),"")</f>
        <v/>
      </c>
      <c r="F25" s="42"/>
      <c r="G25" s="16" t="str">
        <f t="shared" ref="G12:G30" si="2">IFERROR(VLOOKUP(B25,상품목록,3,0),"")</f>
        <v/>
      </c>
      <c r="H25" s="41" t="str">
        <f t="shared" si="1"/>
        <v/>
      </c>
      <c r="I25" s="61"/>
    </row>
    <row r="26" spans="2:12">
      <c r="B26" s="16">
        <v>116</v>
      </c>
      <c r="C26" s="85" t="str">
        <f>IFERROR(INDEX(상품목록,MATCH(B26,상품번호,0),2),"")</f>
        <v/>
      </c>
      <c r="D26" s="86"/>
      <c r="E26" s="39" t="str">
        <f>IFERROR(INDEX(상품목록,MATCH(B26,상품번호,0),4),"")</f>
        <v/>
      </c>
      <c r="F26" s="42"/>
      <c r="G26" s="16" t="str">
        <f t="shared" si="2"/>
        <v/>
      </c>
      <c r="H26" s="41" t="str">
        <f t="shared" si="1"/>
        <v/>
      </c>
      <c r="I26" s="61"/>
    </row>
    <row r="27" spans="2:12">
      <c r="B27" s="16">
        <v>117</v>
      </c>
      <c r="C27" s="85" t="str">
        <f>IFERROR(INDEX(상품목록,MATCH(B27,상품번호,0),2),"")</f>
        <v/>
      </c>
      <c r="D27" s="86"/>
      <c r="E27" s="39" t="str">
        <f>IFERROR(INDEX(상품목록,MATCH(B27,상품번호,0),4),"")</f>
        <v/>
      </c>
      <c r="F27" s="42"/>
      <c r="G27" s="16" t="str">
        <f t="shared" si="2"/>
        <v/>
      </c>
      <c r="H27" s="41" t="str">
        <f t="shared" si="1"/>
        <v/>
      </c>
      <c r="I27" s="61"/>
    </row>
    <row r="28" spans="2:12">
      <c r="B28" s="16">
        <v>118</v>
      </c>
      <c r="C28" s="85" t="str">
        <f>IFERROR(INDEX(상품목록,MATCH(B28,상품번호,0),2),"")</f>
        <v/>
      </c>
      <c r="D28" s="86"/>
      <c r="E28" s="39" t="str">
        <f>IFERROR(INDEX(상품목록,MATCH(B28,상품번호,0),4),"")</f>
        <v/>
      </c>
      <c r="F28" s="42"/>
      <c r="G28" s="16" t="str">
        <f t="shared" si="2"/>
        <v/>
      </c>
      <c r="H28" s="41" t="str">
        <f t="shared" si="1"/>
        <v/>
      </c>
      <c r="I28" s="61"/>
      <c r="J28" s="43"/>
      <c r="K28" s="43"/>
      <c r="L28" s="43"/>
    </row>
    <row r="29" spans="2:12">
      <c r="B29" s="16">
        <v>119</v>
      </c>
      <c r="C29" s="85" t="str">
        <f>IFERROR(INDEX(상품목록,MATCH(B29,상품번호,0),2),"")</f>
        <v/>
      </c>
      <c r="D29" s="86"/>
      <c r="E29" s="39" t="str">
        <f t="shared" ref="E12:E30" si="3">IFERROR(VLOOKUP(B29,상품목록,4,FALSE),"")</f>
        <v/>
      </c>
      <c r="F29" s="42"/>
      <c r="G29" s="16" t="str">
        <f t="shared" si="2"/>
        <v/>
      </c>
      <c r="H29" s="41" t="str">
        <f t="shared" si="1"/>
        <v/>
      </c>
      <c r="I29" s="61"/>
      <c r="J29" s="43"/>
      <c r="K29" s="43"/>
      <c r="L29" s="43"/>
    </row>
    <row r="30" spans="2:12">
      <c r="B30" s="16">
        <v>120</v>
      </c>
      <c r="C30" s="85" t="str">
        <f>IFERROR(INDEX(상품목록,MATCH(B30,상품번호,0),2),"")</f>
        <v/>
      </c>
      <c r="D30" s="86"/>
      <c r="E30" s="39" t="str">
        <f t="shared" si="3"/>
        <v/>
      </c>
      <c r="F30" s="42"/>
      <c r="G30" s="16" t="str">
        <f t="shared" si="2"/>
        <v/>
      </c>
      <c r="H30" s="41" t="str">
        <f t="shared" si="1"/>
        <v/>
      </c>
      <c r="I30" s="61"/>
      <c r="J30" s="43"/>
      <c r="K30" s="43"/>
      <c r="L30" s="43"/>
    </row>
    <row r="31" spans="2:12">
      <c r="H31" s="44"/>
      <c r="I31" s="44"/>
      <c r="J31" s="43"/>
      <c r="K31" s="43"/>
      <c r="L31" s="43"/>
    </row>
    <row r="32" spans="2:12">
      <c r="F32" s="81" t="s">
        <v>30</v>
      </c>
      <c r="G32" s="82"/>
      <c r="H32" s="45">
        <f>SUM(H12:H30)</f>
        <v>87360</v>
      </c>
      <c r="I32" s="44"/>
      <c r="K32" s="43"/>
      <c r="L32" s="43"/>
    </row>
    <row r="33" spans="4:12">
      <c r="F33" s="81" t="s">
        <v>31</v>
      </c>
      <c r="G33" s="82"/>
      <c r="H33" s="45">
        <f>H32*0.1</f>
        <v>8736</v>
      </c>
      <c r="I33" s="44"/>
      <c r="J33" s="43"/>
      <c r="K33" s="43"/>
      <c r="L33" s="43"/>
    </row>
    <row r="34" spans="4:12">
      <c r="F34" s="83" t="s">
        <v>32</v>
      </c>
      <c r="G34" s="83"/>
      <c r="H34" s="46">
        <f>IFERROR(IF(K35=TRUE,0,VLOOKUP(H32,배송요금,3,1)),"")</f>
        <v>0</v>
      </c>
      <c r="I34" s="62"/>
      <c r="J34" s="47" t="s">
        <v>33</v>
      </c>
      <c r="K34" s="43"/>
      <c r="L34" s="43"/>
    </row>
    <row r="35" spans="4:12">
      <c r="F35" s="81" t="s">
        <v>34</v>
      </c>
      <c r="G35" s="82"/>
      <c r="H35" s="45">
        <f>SUM(H32:H34)</f>
        <v>96096</v>
      </c>
      <c r="I35" s="44"/>
      <c r="J35" s="43"/>
      <c r="K35" s="48" t="b">
        <v>1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84">
        <f ca="1">A6+10</f>
        <v>45757</v>
      </c>
      <c r="G39" s="84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D5:D8"/>
    <mergeCell ref="F7:H7"/>
    <mergeCell ref="F8:H8"/>
    <mergeCell ref="A6:C6"/>
    <mergeCell ref="A5:C5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2025-03-31T00:30:09Z</dcterms:modified>
  <cp:category/>
  <cp:contentStatus/>
</cp:coreProperties>
</file>