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6495BD66-8751-44C4-854E-67188329BABB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상품목록 및 배송요금" sheetId="2" r:id="rId1"/>
    <sheet name="Sheet1" sheetId="7" r:id="rId2"/>
    <sheet name="견적서" sheetId="6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H13" i="6"/>
  <c r="H22" i="6"/>
  <c r="H23" i="6"/>
  <c r="H24" i="6"/>
  <c r="H25" i="6"/>
  <c r="H26" i="6"/>
  <c r="H27" i="6"/>
  <c r="H28" i="6"/>
  <c r="H29" i="6"/>
  <c r="H30" i="6"/>
  <c r="G13" i="6" l="1"/>
  <c r="G14" i="6"/>
  <c r="G15" i="6"/>
  <c r="G16" i="6"/>
  <c r="G17" i="6"/>
  <c r="G18" i="6"/>
  <c r="G19" i="6"/>
  <c r="G20" i="6"/>
  <c r="G21" i="6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20" i="6"/>
  <c r="C21" i="6"/>
  <c r="C13" i="6"/>
  <c r="C14" i="6"/>
  <c r="C15" i="6"/>
  <c r="C16" i="6"/>
  <c r="C17" i="6"/>
  <c r="C18" i="6"/>
  <c r="C19" i="6"/>
  <c r="G12" i="6"/>
  <c r="C12" i="6"/>
  <c r="E12" i="6"/>
  <c r="H12" i="6" s="1"/>
  <c r="H32" i="6" s="1"/>
  <c r="H33" i="6" s="1"/>
  <c r="H34" i="6" l="1"/>
  <c r="H35" i="6" s="1"/>
  <c r="E10" i="6" s="1"/>
  <c r="F4" i="7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<sst xmlns="http://schemas.openxmlformats.org/spreadsheetml/2006/main" count="76" uniqueCount="60">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</sst>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  <numFmt numFmtId="181" formatCode="#,##0_);[Red]\(#,##0\)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81" fontId="5" fillId="0" borderId="7" xfId="0" applyNumberFormat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33</xdr:row>
          <xdr:rowOff>152400</xdr:rowOff>
        </xdr:from>
        <xdr:to>
          <xdr:col>9</xdr:col>
          <xdr:colOff>861060</xdr:colOff>
          <xdr:row>35</xdr:row>
          <xdr:rowOff>45720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5</xdr:row>
          <xdr:rowOff>45720</xdr:rowOff>
        </xdr:from>
        <xdr:to>
          <xdr:col>9</xdr:col>
          <xdr:colOff>815340</xdr:colOff>
          <xdr:row>5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="115" zoomScaleNormal="115" workbookViewId="0">
      <selection activeCell="F40" sqref="F40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1" t="s">
        <v>48</v>
      </c>
      <c r="C5" s="71"/>
      <c r="D5" s="72" t="s">
        <v>49</v>
      </c>
      <c r="E5" s="9" t="s">
        <v>50</v>
      </c>
      <c r="F5" s="89" t="s">
        <v>51</v>
      </c>
      <c r="G5" s="90"/>
      <c r="H5" s="91"/>
      <c r="I5" s="60"/>
    </row>
    <row r="6" spans="1:52" ht="31.2">
      <c r="B6" s="81">
        <v>45667</v>
      </c>
      <c r="C6" s="82"/>
      <c r="D6" s="73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73"/>
      <c r="E7" s="11" t="s">
        <v>57</v>
      </c>
      <c r="F7" s="75" t="s">
        <v>55</v>
      </c>
      <c r="G7" s="76"/>
      <c r="H7" s="77"/>
      <c r="I7" s="61"/>
    </row>
    <row r="8" spans="1:52" ht="16.5" customHeight="1" thickBot="1">
      <c r="B8" s="14"/>
      <c r="C8" s="14"/>
      <c r="D8" s="74"/>
      <c r="E8" s="21" t="s">
        <v>58</v>
      </c>
      <c r="F8" s="78" t="s">
        <v>56</v>
      </c>
      <c r="G8" s="79"/>
      <c r="H8" s="8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0">
        <f>H35</f>
        <v>102000</v>
      </c>
      <c r="F10" s="70"/>
      <c r="G10" s="70"/>
      <c r="H10" s="38" t="s">
        <v>25</v>
      </c>
    </row>
    <row r="11" spans="1:52" ht="18" customHeight="1">
      <c r="B11" s="39" t="s">
        <v>26</v>
      </c>
      <c r="C11" s="92" t="s">
        <v>3</v>
      </c>
      <c r="D11" s="93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106</v>
      </c>
      <c r="C12" s="87" t="str">
        <f t="shared" ref="C12:C21" si="0">IFERROR(VLOOKUP(B12,상품목록,2,0),"")</f>
        <v>메론</v>
      </c>
      <c r="D12" s="88"/>
      <c r="E12" s="40">
        <f t="shared" ref="E12:E21" si="1">IFERROR(VLOOKUP(B12,상품목록,4,0),"")</f>
        <v>1800</v>
      </c>
      <c r="F12" s="41">
        <v>50</v>
      </c>
      <c r="G12" s="16" t="str">
        <f t="shared" ref="G12:G21" si="2">IFERROR(VLOOKUP(B12,상품목록,3,0),"")</f>
        <v>Kg</v>
      </c>
      <c r="H12" s="42">
        <f>IFERROR(E12*F12,0)</f>
        <v>90000</v>
      </c>
      <c r="I12" s="62"/>
    </row>
    <row r="13" spans="1:52">
      <c r="B13" s="17"/>
      <c r="C13" s="87" t="str">
        <f t="shared" si="0"/>
        <v/>
      </c>
      <c r="D13" s="88"/>
      <c r="E13" s="40"/>
      <c r="F13" s="41"/>
      <c r="G13" s="16" t="str">
        <f t="shared" si="2"/>
        <v/>
      </c>
      <c r="H13" s="42">
        <f t="shared" ref="H13:H30" si="3">IFERROR(E13*F13,0)</f>
        <v>0</v>
      </c>
      <c r="I13" s="62"/>
    </row>
    <row r="14" spans="1:52">
      <c r="B14" s="17"/>
      <c r="C14" s="87" t="str">
        <f t="shared" si="0"/>
        <v/>
      </c>
      <c r="D14" s="88"/>
      <c r="E14" s="40" t="str">
        <f t="shared" si="1"/>
        <v/>
      </c>
      <c r="F14" s="43"/>
      <c r="G14" s="16" t="str">
        <f t="shared" si="2"/>
        <v/>
      </c>
      <c r="H14" s="42">
        <f t="shared" si="3"/>
        <v>0</v>
      </c>
      <c r="I14" s="62"/>
    </row>
    <row r="15" spans="1:52">
      <c r="B15" s="17"/>
      <c r="C15" s="87" t="str">
        <f t="shared" si="0"/>
        <v/>
      </c>
      <c r="D15" s="88"/>
      <c r="E15" s="40" t="str">
        <f t="shared" si="1"/>
        <v/>
      </c>
      <c r="F15" s="43"/>
      <c r="G15" s="16" t="str">
        <f t="shared" si="2"/>
        <v/>
      </c>
      <c r="H15" s="42">
        <f t="shared" si="3"/>
        <v>0</v>
      </c>
      <c r="I15" s="62"/>
    </row>
    <row r="16" spans="1:52">
      <c r="B16" s="17"/>
      <c r="C16" s="87" t="str">
        <f t="shared" si="0"/>
        <v/>
      </c>
      <c r="D16" s="88"/>
      <c r="E16" s="40" t="str">
        <f t="shared" si="1"/>
        <v/>
      </c>
      <c r="F16" s="43"/>
      <c r="G16" s="16" t="str">
        <f t="shared" si="2"/>
        <v/>
      </c>
      <c r="H16" s="42">
        <f t="shared" si="3"/>
        <v>0</v>
      </c>
      <c r="I16" s="62"/>
    </row>
    <row r="17" spans="2:12">
      <c r="B17" s="17"/>
      <c r="C17" s="87" t="str">
        <f t="shared" si="0"/>
        <v/>
      </c>
      <c r="D17" s="88"/>
      <c r="E17" s="40" t="str">
        <f t="shared" si="1"/>
        <v/>
      </c>
      <c r="F17" s="43"/>
      <c r="G17" s="16" t="str">
        <f t="shared" si="2"/>
        <v/>
      </c>
      <c r="H17" s="42">
        <f t="shared" si="3"/>
        <v>0</v>
      </c>
      <c r="I17" s="62"/>
    </row>
    <row r="18" spans="2:12">
      <c r="B18" s="17"/>
      <c r="C18" s="87" t="str">
        <f t="shared" si="0"/>
        <v/>
      </c>
      <c r="D18" s="88"/>
      <c r="E18" s="40" t="str">
        <f t="shared" si="1"/>
        <v/>
      </c>
      <c r="F18" s="43"/>
      <c r="G18" s="16" t="str">
        <f t="shared" si="2"/>
        <v/>
      </c>
      <c r="H18" s="42">
        <f t="shared" si="3"/>
        <v>0</v>
      </c>
      <c r="I18" s="62"/>
    </row>
    <row r="19" spans="2:12">
      <c r="B19" s="17"/>
      <c r="C19" s="87" t="str">
        <f t="shared" si="0"/>
        <v/>
      </c>
      <c r="D19" s="88"/>
      <c r="E19" s="40" t="str">
        <f t="shared" si="1"/>
        <v/>
      </c>
      <c r="F19" s="43"/>
      <c r="G19" s="16" t="str">
        <f t="shared" si="2"/>
        <v/>
      </c>
      <c r="H19" s="42">
        <f t="shared" si="3"/>
        <v>0</v>
      </c>
      <c r="I19" s="62"/>
    </row>
    <row r="20" spans="2:12">
      <c r="B20" s="17"/>
      <c r="C20" s="87" t="str">
        <f t="shared" si="0"/>
        <v/>
      </c>
      <c r="D20" s="88"/>
      <c r="E20" s="40" t="str">
        <f t="shared" si="1"/>
        <v/>
      </c>
      <c r="F20" s="43"/>
      <c r="G20" s="16" t="str">
        <f t="shared" si="2"/>
        <v/>
      </c>
      <c r="H20" s="42">
        <f t="shared" si="3"/>
        <v>0</v>
      </c>
      <c r="I20" s="62"/>
    </row>
    <row r="21" spans="2:12">
      <c r="B21" s="17"/>
      <c r="C21" s="87" t="str">
        <f t="shared" si="0"/>
        <v/>
      </c>
      <c r="D21" s="88"/>
      <c r="E21" s="40" t="str">
        <f t="shared" si="1"/>
        <v/>
      </c>
      <c r="F21" s="43"/>
      <c r="G21" s="16" t="str">
        <f t="shared" si="2"/>
        <v/>
      </c>
      <c r="H21" s="42">
        <f t="shared" si="3"/>
        <v>0</v>
      </c>
      <c r="I21" s="62"/>
    </row>
    <row r="22" spans="2:12">
      <c r="B22" s="17"/>
      <c r="C22" s="87"/>
      <c r="D22" s="88"/>
      <c r="E22" s="40"/>
      <c r="F22" s="43"/>
      <c r="G22" s="16"/>
      <c r="H22" s="42">
        <f t="shared" si="3"/>
        <v>0</v>
      </c>
      <c r="I22" s="62"/>
    </row>
    <row r="23" spans="2:12">
      <c r="B23" s="17"/>
      <c r="C23" s="87"/>
      <c r="D23" s="88"/>
      <c r="E23" s="40"/>
      <c r="F23" s="43"/>
      <c r="G23" s="16"/>
      <c r="H23" s="42">
        <f t="shared" si="3"/>
        <v>0</v>
      </c>
      <c r="I23" s="62"/>
    </row>
    <row r="24" spans="2:12">
      <c r="B24" s="17"/>
      <c r="C24" s="87"/>
      <c r="D24" s="88"/>
      <c r="E24" s="40"/>
      <c r="F24" s="43"/>
      <c r="G24" s="16"/>
      <c r="H24" s="42">
        <f t="shared" si="3"/>
        <v>0</v>
      </c>
      <c r="I24" s="62"/>
    </row>
    <row r="25" spans="2:12">
      <c r="B25" s="17"/>
      <c r="C25" s="87"/>
      <c r="D25" s="88"/>
      <c r="E25" s="40"/>
      <c r="F25" s="43"/>
      <c r="G25" s="16"/>
      <c r="H25" s="42">
        <f t="shared" si="3"/>
        <v>0</v>
      </c>
      <c r="I25" s="62"/>
    </row>
    <row r="26" spans="2:12">
      <c r="B26" s="17"/>
      <c r="C26" s="87"/>
      <c r="D26" s="88"/>
      <c r="E26" s="40"/>
      <c r="F26" s="43"/>
      <c r="G26" s="16"/>
      <c r="H26" s="42">
        <f t="shared" si="3"/>
        <v>0</v>
      </c>
      <c r="I26" s="62"/>
    </row>
    <row r="27" spans="2:12">
      <c r="B27" s="17"/>
      <c r="C27" s="87"/>
      <c r="D27" s="88"/>
      <c r="E27" s="40"/>
      <c r="F27" s="43"/>
      <c r="G27" s="16"/>
      <c r="H27" s="42">
        <f t="shared" si="3"/>
        <v>0</v>
      </c>
      <c r="I27" s="62"/>
    </row>
    <row r="28" spans="2:12">
      <c r="B28" s="17"/>
      <c r="C28" s="87"/>
      <c r="D28" s="88"/>
      <c r="E28" s="40"/>
      <c r="F28" s="43"/>
      <c r="G28" s="16"/>
      <c r="H28" s="42">
        <f t="shared" si="3"/>
        <v>0</v>
      </c>
      <c r="I28" s="62"/>
      <c r="J28" s="44"/>
      <c r="K28" s="44"/>
      <c r="L28" s="44"/>
    </row>
    <row r="29" spans="2:12">
      <c r="B29" s="17"/>
      <c r="C29" s="87"/>
      <c r="D29" s="88"/>
      <c r="E29" s="40"/>
      <c r="F29" s="43"/>
      <c r="G29" s="16"/>
      <c r="H29" s="42">
        <f t="shared" si="3"/>
        <v>0</v>
      </c>
      <c r="I29" s="62"/>
      <c r="J29" s="44"/>
      <c r="K29" s="44"/>
      <c r="L29" s="44"/>
    </row>
    <row r="30" spans="2:12">
      <c r="B30" s="17"/>
      <c r="C30" s="87"/>
      <c r="D30" s="88"/>
      <c r="E30" s="40"/>
      <c r="F30" s="43"/>
      <c r="G30" s="16"/>
      <c r="H30" s="42">
        <f t="shared" si="3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3" t="s">
        <v>30</v>
      </c>
      <c r="G32" s="84"/>
      <c r="H32" s="46">
        <f>SUM(H12:H30)</f>
        <v>90000</v>
      </c>
      <c r="I32" s="45"/>
      <c r="K32" s="44"/>
      <c r="L32" s="44"/>
    </row>
    <row r="33" spans="4:12">
      <c r="F33" s="83" t="s">
        <v>31</v>
      </c>
      <c r="G33" s="84"/>
      <c r="H33" s="46">
        <f>H32*0.1</f>
        <v>9000</v>
      </c>
      <c r="I33" s="45"/>
      <c r="J33" s="44"/>
      <c r="K33" s="44"/>
      <c r="L33" s="44"/>
    </row>
    <row r="34" spans="4:12">
      <c r="F34" s="85" t="s">
        <v>32</v>
      </c>
      <c r="G34" s="85"/>
      <c r="H34" s="47">
        <f>IF(K35=TRUE,0,VLOOKUP(H32,배송요금,3,1))</f>
        <v>3000</v>
      </c>
      <c r="I34" s="63"/>
      <c r="J34" s="48" t="s">
        <v>33</v>
      </c>
      <c r="K34" s="44"/>
      <c r="L34" s="44"/>
    </row>
    <row r="35" spans="4:12">
      <c r="F35" s="83" t="s">
        <v>34</v>
      </c>
      <c r="G35" s="84"/>
      <c r="H35" s="66">
        <f>SUM(H32:H34)</f>
        <v>102000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6">
        <f>B6+10</f>
        <v>45677</v>
      </c>
      <c r="G39" s="8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53340</xdr:colOff>
                    <xdr:row>33</xdr:row>
                    <xdr:rowOff>152400</xdr:rowOff>
                  </from>
                  <to>
                    <xdr:col>9</xdr:col>
                    <xdr:colOff>861060</xdr:colOff>
                    <xdr:row>35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53340</xdr:colOff>
                    <xdr:row>5</xdr:row>
                    <xdr:rowOff>45720</xdr:rowOff>
                  </from>
                  <to>
                    <xdr:col>9</xdr:col>
                    <xdr:colOff>815340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Sheet1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2025-03-31T00:21:51Z</dcterms:modified>
  <cp:category/>
  <cp:contentStatus/>
</cp:coreProperties>
</file>