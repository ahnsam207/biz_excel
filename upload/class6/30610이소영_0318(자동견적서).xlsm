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43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즈니스엑셀\"/>
    </mc:Choice>
  </mc:AlternateContent>
  <xr:revisionPtr revIDLastSave="0" documentId="8_{B99880AF-630A-4518-BE42-4AB0F0ADDD26}" xr6:coauthVersionLast="36" xr6:coauthVersionMax="36" xr10:uidLastSave="{00000000-0000-0000-0000-000000000000}"/>
  <bookViews>
    <workbookView xWindow="0" yWindow="0" windowWidth="23040" windowHeight="8856" activeTab="1" xr2:uid="{00000000-000D-0000-FFFF-FFFF00000000}"/>
  </bookViews>
  <sheets>
    <sheet name="상품목록 및 배송요금" sheetId="2" r:id="rId1"/>
    <sheet name="Sheet1" sheetId="7" r:id="rId2"/>
    <sheet name="견적서" sheetId="6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7" l="1"/>
  <c r="F3" i="7"/>
  <c r="H2" i="7"/>
</calcChain>
</file>

<file path=xl/sharedStrings.xml><?xml version="1.0" encoding="utf-8"?>
<sst xmlns="http://schemas.openxmlformats.org/spreadsheetml/2006/main" count="64" uniqueCount="48">
  <si>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</si>
  <si>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</si>
  <si>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</si>
  <si>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</si>
  <si>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</si>
  <si>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</si>
  <si>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</si>
  <si>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</si>
  <si>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</si>
  <si>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</si>
  <si>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</si>
  <si>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</si>
  <si>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</si>
  <si>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</si>
  <si>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</si>
  <si>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</si>
  <si>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</si>
  <si>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</si>
  <si>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</si>
  <si>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</si>
  <si>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</si>
  <si>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</si>
  <si>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</si>
  <si>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</si>
  <si>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</si>
  <si>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</si>
  <si>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</si>
  <si>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</si>
  <si>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</si>
  <si>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</si>
  <si>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</si>
  <si>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</si>
  <si>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</si>
  <si>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</si>
  <si>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</si>
  <si>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</si>
  <si>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</si>
  <si>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</si>
  <si>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학번</t>
    <phoneticPr fontId="2" type="noConversion"/>
  </si>
  <si>
    <t>이름</t>
    <phoneticPr fontId="2" type="noConversion"/>
  </si>
  <si>
    <t>구조</t>
    <phoneticPr fontId="2" type="noConversion"/>
  </si>
  <si>
    <t>너사번</t>
    <phoneticPr fontId="2" type="noConversion"/>
  </si>
  <si>
    <t>나삼번</t>
    <phoneticPr fontId="2" type="noConversion"/>
  </si>
  <si>
    <t>김이번</t>
    <phoneticPr fontId="2" type="noConversion"/>
  </si>
  <si>
    <t>강일번</t>
    <phoneticPr fontId="2" type="noConversion"/>
  </si>
  <si>
    <t>강서</t>
    <phoneticPr fontId="2" type="noConversion"/>
  </si>
  <si>
    <t>양천</t>
    <phoneticPr fontId="2" type="noConversion"/>
  </si>
  <si>
    <t>주소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</si>
</sst>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</numFmts>
  <fonts count="1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178" fontId="13" fillId="0" borderId="0" xfId="0" applyNumberFormat="1" applyFont="1">
      <alignment vertical="center"/>
    </xf>
    <xf numFmtId="178" fontId="13" fillId="0" borderId="5" xfId="0" applyNumberFormat="1" applyFont="1" applyBorder="1">
      <alignment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16" fillId="6" borderId="27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J12" sqref="J12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8" t="s">
        <v>0</v>
      </c>
      <c r="C2" s="69"/>
      <c r="D2" s="69"/>
      <c r="E2" s="70"/>
      <c r="H2" s="68" t="s">
        <v>1</v>
      </c>
      <c r="I2" s="70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79C00-65BB-43BF-B657-FC04AD3601A3}">
  <dimension ref="A1:H5"/>
  <sheetViews>
    <sheetView tabSelected="1" workbookViewId="0">
      <selection activeCell="H2" sqref="H2"/>
    </sheetView>
  </sheetViews>
  <sheetFormatPr defaultRowHeight="17.399999999999999"/>
  <sheetData>
    <row r="1" spans="1:8">
      <c r="A1" t="s">
        <v>38</v>
      </c>
      <c r="B1" t="s">
        <v>39</v>
      </c>
      <c r="C1" t="s">
        <v>40</v>
      </c>
    </row>
    <row r="2" spans="1:8">
      <c r="A2">
        <v>10101</v>
      </c>
      <c r="B2" t="s">
        <v>44</v>
      </c>
      <c r="C2" t="s">
        <v>45</v>
      </c>
      <c r="E2" t="s">
        <v>38</v>
      </c>
      <c r="F2">
        <v>10104</v>
      </c>
      <c r="G2" t="s">
        <v>38</v>
      </c>
      <c r="H2">
        <f ca="1">IFERROR(INDEX(R2,MATCH(H2,R1,0)),"")</f>
        <v>0</v>
      </c>
    </row>
    <row r="3" spans="1:8">
      <c r="A3">
        <v>10102</v>
      </c>
      <c r="B3" t="s">
        <v>43</v>
      </c>
      <c r="C3" t="s">
        <v>46</v>
      </c>
      <c r="E3" t="s">
        <v>39</v>
      </c>
      <c r="F3" t="str">
        <f>IFERROR(VLOOKUP(F2,A2:$C$5,2,0),"")</f>
        <v>너사번</v>
      </c>
      <c r="G3" t="s">
        <v>39</v>
      </c>
    </row>
    <row r="4" spans="1:8">
      <c r="A4">
        <v>10103</v>
      </c>
      <c r="B4" t="s">
        <v>42</v>
      </c>
      <c r="C4" t="s">
        <v>45</v>
      </c>
      <c r="E4" t="s">
        <v>47</v>
      </c>
      <c r="F4" t="str">
        <f>IFERROR(VLOOKUP(F2,$A$2:$C$5,3,0),"")</f>
        <v>양천</v>
      </c>
      <c r="G4" t="s">
        <v>47</v>
      </c>
    </row>
    <row r="5" spans="1:8">
      <c r="A5">
        <v>10104</v>
      </c>
      <c r="B5" t="s">
        <v>41</v>
      </c>
      <c r="C5" t="s">
        <v>46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Z41"/>
  <sheetViews>
    <sheetView zoomScaleNormal="100" workbookViewId="0">
      <selection activeCell="B12" sqref="B12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83"/>
      <c r="C5" s="83"/>
      <c r="D5" s="84"/>
      <c r="E5" s="9"/>
      <c r="F5" s="73"/>
      <c r="G5" s="74"/>
      <c r="H5" s="75"/>
      <c r="I5" s="62"/>
    </row>
    <row r="6" spans="1:52" ht="17.399999999999999">
      <c r="B6" s="39"/>
      <c r="C6" s="40"/>
      <c r="D6" s="85"/>
      <c r="E6" s="10"/>
      <c r="F6" s="11"/>
      <c r="G6" s="11"/>
      <c r="H6" s="12"/>
      <c r="I6" s="63"/>
    </row>
    <row r="7" spans="1:52" ht="16.5" customHeight="1">
      <c r="B7" s="13"/>
      <c r="C7" s="13"/>
      <c r="D7" s="85"/>
      <c r="E7" s="11"/>
      <c r="F7" s="87"/>
      <c r="G7" s="88"/>
      <c r="H7" s="89"/>
      <c r="I7" s="63"/>
    </row>
    <row r="8" spans="1:52" ht="16.5" customHeight="1" thickBot="1">
      <c r="B8" s="14"/>
      <c r="C8" s="14"/>
      <c r="D8" s="86"/>
      <c r="E8" s="21"/>
      <c r="F8" s="90"/>
      <c r="G8" s="91"/>
      <c r="H8" s="92"/>
      <c r="I8" s="63"/>
    </row>
    <row r="9" spans="1:52" ht="16.5" customHeight="1">
      <c r="B9" s="14"/>
      <c r="C9" s="14"/>
      <c r="D9" s="66"/>
      <c r="E9" s="63"/>
      <c r="F9" s="63"/>
      <c r="G9" s="63"/>
      <c r="H9" s="63"/>
      <c r="I9" s="63"/>
    </row>
    <row r="10" spans="1:52" ht="24" customHeight="1">
      <c r="C10" s="24"/>
      <c r="D10" s="37" t="s">
        <v>24</v>
      </c>
      <c r="E10" s="82"/>
      <c r="F10" s="82"/>
      <c r="G10" s="82"/>
      <c r="H10" s="38" t="s">
        <v>25</v>
      </c>
    </row>
    <row r="11" spans="1:52" ht="18" customHeight="1">
      <c r="B11" s="41" t="s">
        <v>26</v>
      </c>
      <c r="C11" s="76" t="s">
        <v>3</v>
      </c>
      <c r="D11" s="77"/>
      <c r="E11" s="67" t="s">
        <v>5</v>
      </c>
      <c r="F11" s="67" t="s">
        <v>27</v>
      </c>
      <c r="G11" s="67" t="s">
        <v>28</v>
      </c>
      <c r="H11" s="67" t="s">
        <v>29</v>
      </c>
      <c r="I11" s="64"/>
    </row>
    <row r="12" spans="1:52">
      <c r="B12" s="16"/>
      <c r="C12" s="71"/>
      <c r="D12" s="72"/>
      <c r="E12" s="42"/>
      <c r="F12" s="43"/>
      <c r="G12" s="16"/>
      <c r="H12" s="44"/>
      <c r="I12" s="64"/>
    </row>
    <row r="13" spans="1:52">
      <c r="B13" s="17"/>
      <c r="C13" s="71"/>
      <c r="D13" s="72"/>
      <c r="E13" s="42"/>
      <c r="F13" s="43"/>
      <c r="G13" s="16"/>
      <c r="H13" s="44"/>
      <c r="I13" s="64"/>
    </row>
    <row r="14" spans="1:52">
      <c r="B14" s="17"/>
      <c r="C14" s="71"/>
      <c r="D14" s="72"/>
      <c r="E14" s="42"/>
      <c r="F14" s="45"/>
      <c r="G14" s="16"/>
      <c r="H14" s="44"/>
      <c r="I14" s="64"/>
    </row>
    <row r="15" spans="1:52">
      <c r="B15" s="17"/>
      <c r="C15" s="71"/>
      <c r="D15" s="72"/>
      <c r="E15" s="42"/>
      <c r="F15" s="45"/>
      <c r="G15" s="16"/>
      <c r="H15" s="44"/>
      <c r="I15" s="64"/>
    </row>
    <row r="16" spans="1:52">
      <c r="B16" s="17"/>
      <c r="C16" s="71"/>
      <c r="D16" s="72"/>
      <c r="E16" s="42"/>
      <c r="F16" s="45"/>
      <c r="G16" s="16"/>
      <c r="H16" s="44"/>
      <c r="I16" s="64"/>
    </row>
    <row r="17" spans="2:12">
      <c r="B17" s="17"/>
      <c r="C17" s="71"/>
      <c r="D17" s="72"/>
      <c r="E17" s="42"/>
      <c r="F17" s="45"/>
      <c r="G17" s="16"/>
      <c r="H17" s="44"/>
      <c r="I17" s="64"/>
    </row>
    <row r="18" spans="2:12">
      <c r="B18" s="17"/>
      <c r="C18" s="71"/>
      <c r="D18" s="72"/>
      <c r="E18" s="42"/>
      <c r="F18" s="45"/>
      <c r="G18" s="16"/>
      <c r="H18" s="44"/>
      <c r="I18" s="64"/>
    </row>
    <row r="19" spans="2:12">
      <c r="B19" s="17"/>
      <c r="C19" s="71"/>
      <c r="D19" s="72"/>
      <c r="E19" s="42"/>
      <c r="F19" s="45"/>
      <c r="G19" s="16"/>
      <c r="H19" s="44"/>
      <c r="I19" s="64"/>
    </row>
    <row r="20" spans="2:12">
      <c r="B20" s="17"/>
      <c r="C20" s="71"/>
      <c r="D20" s="72"/>
      <c r="E20" s="42"/>
      <c r="F20" s="45"/>
      <c r="G20" s="16"/>
      <c r="H20" s="44"/>
      <c r="I20" s="64"/>
    </row>
    <row r="21" spans="2:12">
      <c r="B21" s="17"/>
      <c r="C21" s="71"/>
      <c r="D21" s="72"/>
      <c r="E21" s="42"/>
      <c r="F21" s="45"/>
      <c r="G21" s="16"/>
      <c r="H21" s="44"/>
      <c r="I21" s="64"/>
    </row>
    <row r="22" spans="2:12">
      <c r="B22" s="17"/>
      <c r="C22" s="71"/>
      <c r="D22" s="72"/>
      <c r="E22" s="42"/>
      <c r="F22" s="45"/>
      <c r="G22" s="16"/>
      <c r="H22" s="44"/>
      <c r="I22" s="64"/>
    </row>
    <row r="23" spans="2:12">
      <c r="B23" s="17"/>
      <c r="C23" s="71"/>
      <c r="D23" s="72"/>
      <c r="E23" s="42"/>
      <c r="F23" s="45"/>
      <c r="G23" s="16"/>
      <c r="H23" s="44"/>
      <c r="I23" s="64"/>
    </row>
    <row r="24" spans="2:12">
      <c r="B24" s="17"/>
      <c r="C24" s="71"/>
      <c r="D24" s="72"/>
      <c r="E24" s="42"/>
      <c r="F24" s="45"/>
      <c r="G24" s="16"/>
      <c r="H24" s="44"/>
      <c r="I24" s="64"/>
    </row>
    <row r="25" spans="2:12">
      <c r="B25" s="17"/>
      <c r="C25" s="71"/>
      <c r="D25" s="72"/>
      <c r="E25" s="42"/>
      <c r="F25" s="45"/>
      <c r="G25" s="16"/>
      <c r="H25" s="44"/>
      <c r="I25" s="64"/>
    </row>
    <row r="26" spans="2:12">
      <c r="B26" s="17"/>
      <c r="C26" s="71"/>
      <c r="D26" s="72"/>
      <c r="E26" s="42"/>
      <c r="F26" s="45"/>
      <c r="G26" s="16"/>
      <c r="H26" s="44"/>
      <c r="I26" s="64"/>
    </row>
    <row r="27" spans="2:12">
      <c r="B27" s="17"/>
      <c r="C27" s="71"/>
      <c r="D27" s="72"/>
      <c r="E27" s="42"/>
      <c r="F27" s="45"/>
      <c r="G27" s="16"/>
      <c r="H27" s="44"/>
      <c r="I27" s="64"/>
    </row>
    <row r="28" spans="2:12">
      <c r="B28" s="17"/>
      <c r="C28" s="71"/>
      <c r="D28" s="72"/>
      <c r="E28" s="42"/>
      <c r="F28" s="45"/>
      <c r="G28" s="16"/>
      <c r="H28" s="44"/>
      <c r="I28" s="64"/>
      <c r="J28" s="46"/>
      <c r="K28" s="46"/>
      <c r="L28" s="46"/>
    </row>
    <row r="29" spans="2:12">
      <c r="B29" s="17"/>
      <c r="C29" s="71"/>
      <c r="D29" s="72"/>
      <c r="E29" s="42"/>
      <c r="F29" s="45"/>
      <c r="G29" s="16"/>
      <c r="H29" s="44"/>
      <c r="I29" s="64"/>
      <c r="J29" s="46"/>
      <c r="K29" s="46"/>
      <c r="L29" s="46"/>
    </row>
    <row r="30" spans="2:12">
      <c r="B30" s="17"/>
      <c r="C30" s="71"/>
      <c r="D30" s="72"/>
      <c r="E30" s="42"/>
      <c r="F30" s="45"/>
      <c r="G30" s="16"/>
      <c r="H30" s="44"/>
      <c r="I30" s="64"/>
      <c r="J30" s="46"/>
      <c r="K30" s="46"/>
      <c r="L30" s="46"/>
    </row>
    <row r="31" spans="2:12">
      <c r="H31" s="47"/>
      <c r="I31" s="47"/>
      <c r="J31" s="46"/>
      <c r="K31" s="46"/>
      <c r="L31" s="46"/>
    </row>
    <row r="32" spans="2:12">
      <c r="F32" s="78" t="s">
        <v>30</v>
      </c>
      <c r="G32" s="79"/>
      <c r="H32" s="48"/>
      <c r="I32" s="47"/>
      <c r="K32" s="46"/>
      <c r="L32" s="46"/>
    </row>
    <row r="33" spans="4:12">
      <c r="F33" s="78" t="s">
        <v>31</v>
      </c>
      <c r="G33" s="79"/>
      <c r="H33" s="48"/>
      <c r="I33" s="47"/>
      <c r="J33" s="46"/>
      <c r="K33" s="46"/>
      <c r="L33" s="46"/>
    </row>
    <row r="34" spans="4:12">
      <c r="F34" s="80" t="s">
        <v>32</v>
      </c>
      <c r="G34" s="80"/>
      <c r="H34" s="49"/>
      <c r="I34" s="65"/>
      <c r="J34" s="50" t="s">
        <v>33</v>
      </c>
      <c r="K34" s="46"/>
      <c r="L34" s="46"/>
    </row>
    <row r="35" spans="4:12">
      <c r="F35" s="78" t="s">
        <v>34</v>
      </c>
      <c r="G35" s="79"/>
      <c r="H35" s="48"/>
      <c r="I35" s="47"/>
      <c r="J35" s="46"/>
      <c r="K35" s="51"/>
      <c r="L35" s="46"/>
    </row>
    <row r="36" spans="4:12">
      <c r="F36" s="52"/>
      <c r="G36" s="52"/>
      <c r="H36" s="47"/>
      <c r="I36" s="47"/>
      <c r="J36" s="46"/>
      <c r="K36" s="46"/>
      <c r="L36" s="46"/>
    </row>
    <row r="37" spans="4:12" ht="15" thickBot="1">
      <c r="D37" s="53" t="s">
        <v>35</v>
      </c>
      <c r="J37" s="46"/>
      <c r="K37" s="46"/>
      <c r="L37" s="46"/>
    </row>
    <row r="38" spans="4:12">
      <c r="D38" s="54"/>
      <c r="E38" s="55"/>
      <c r="F38" s="55"/>
      <c r="G38" s="55"/>
      <c r="H38" s="56"/>
      <c r="K38" s="46"/>
      <c r="L38" s="46"/>
    </row>
    <row r="39" spans="4:12">
      <c r="D39" s="57"/>
      <c r="E39" s="6" t="s">
        <v>36</v>
      </c>
      <c r="F39" s="81"/>
      <c r="G39" s="81"/>
      <c r="H39" s="58" t="s">
        <v>37</v>
      </c>
      <c r="J39" s="46"/>
      <c r="K39" s="46"/>
      <c r="L39" s="46"/>
    </row>
    <row r="40" spans="4:12">
      <c r="D40" s="57"/>
      <c r="H40" s="58"/>
      <c r="J40" s="46"/>
      <c r="K40" s="46"/>
      <c r="L40" s="46"/>
    </row>
    <row r="41" spans="4:12" ht="15" thickBot="1">
      <c r="D41" s="59"/>
      <c r="E41" s="60"/>
      <c r="F41" s="60"/>
      <c r="G41" s="60"/>
      <c r="H41" s="61"/>
      <c r="J41" s="46"/>
      <c r="K41" s="46"/>
      <c r="L41" s="46"/>
    </row>
  </sheetData>
  <mergeCells count="31">
    <mergeCell ref="E10:G10"/>
    <mergeCell ref="B5:C5"/>
    <mergeCell ref="D5:D8"/>
    <mergeCell ref="F7:H7"/>
    <mergeCell ref="F8:H8"/>
    <mergeCell ref="F32:G32"/>
    <mergeCell ref="F33:G33"/>
    <mergeCell ref="F34:G34"/>
    <mergeCell ref="F35:G35"/>
    <mergeCell ref="F39:G39"/>
    <mergeCell ref="C12:D12"/>
    <mergeCell ref="C13:D13"/>
    <mergeCell ref="C14:D14"/>
    <mergeCell ref="C15:D15"/>
    <mergeCell ref="C16:D16"/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" xr:uid="{00000000-0002-0000-0100-000000000000}">
      <formula1>상품번호</formula1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상품목록 및 배송요금</vt:lpstr>
      <vt:lpstr>Sheet1</vt:lpstr>
      <vt:lpstr>견적서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user</cp:lastModifiedBy>
  <cp:revision/>
  <dcterms:created xsi:type="dcterms:W3CDTF">2014-01-15T03:56:14Z</dcterms:created>
  <dcterms:modified xsi:type="dcterms:W3CDTF">2025-03-18T03:30:48Z</dcterms:modified>
  <cp:category/>
  <cp:contentStatus/>
</cp:coreProperties>
</file>