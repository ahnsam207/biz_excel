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8_{1C13291C-FB98-4FFC-B58F-FD693057C111}" xr6:coauthVersionLast="36" xr6:coauthVersionMax="36" xr10:uidLastSave="{00000000-0000-0000-0000-000000000000}"/>
  <bookViews>
    <workbookView xWindow="0" yWindow="0" windowWidth="23040" windowHeight="8856" activeTab="2" xr2:uid="{00000000-000D-0000-FFFF-FFFF00000000}"/>
  </bookViews>
  <sheets>
    <sheet name="상품목록 및 배송요금" sheetId="2" r:id="rId1"/>
    <sheet name="Sheet1" sheetId="7" r:id="rId2"/>
    <sheet name="견적서" sheetId="6" r:id="rId3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4" i="6" l="1"/>
  <c r="G13" i="6" l="1"/>
  <c r="G14" i="6"/>
  <c r="G15" i="6"/>
  <c r="G16" i="6"/>
  <c r="G17" i="6"/>
  <c r="G18" i="6"/>
  <c r="G19" i="6"/>
  <c r="G20" i="6"/>
  <c r="G21" i="6"/>
  <c r="E13" i="6"/>
  <c r="E14" i="6"/>
  <c r="E15" i="6"/>
  <c r="E16" i="6"/>
  <c r="E17" i="6"/>
  <c r="E18" i="6"/>
  <c r="E19" i="6"/>
  <c r="E20" i="6"/>
  <c r="E21" i="6"/>
  <c r="C20" i="6"/>
  <c r="C21" i="6"/>
  <c r="C13" i="6"/>
  <c r="C14" i="6"/>
  <c r="C15" i="6"/>
  <c r="C16" i="6"/>
  <c r="C17" i="6"/>
  <c r="C18" i="6"/>
  <c r="C19" i="6"/>
  <c r="G12" i="6"/>
  <c r="C12" i="6"/>
  <c r="E12" i="6"/>
  <c r="F4" i="7" l="1"/>
  <c r="F3" i="7"/>
  <c r="H2" i="7"/>
</calcChain>
</file>

<file path=xl/sharedStrings.xml><?xml version="1.0" encoding="utf-8"?>
<sst xmlns="http://schemas.openxmlformats.org/spreadsheetml/2006/main" count="76" uniqueCount="60">
  <si>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</si>
  <si>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</si>
  <si>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</si>
  <si>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</si>
  <si>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</si>
  <si>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</si>
  <si>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</si>
  <si>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</si>
  <si>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</si>
  <si>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</si>
  <si>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</si>
  <si>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</si>
  <si>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</si>
  <si>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</si>
  <si>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</si>
  <si>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</si>
  <si>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</si>
  <si>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</si>
  <si>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</si>
  <si>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</si>
  <si>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</si>
  <si>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</si>
  <si>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</si>
  <si>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</si>
  <si>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</si>
  <si>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</si>
  <si>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</si>
  <si>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</si>
  <si>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</si>
  <si>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</si>
  <si>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</si>
  <si>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</si>
  <si>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</si>
  <si>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</si>
  <si>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</si>
  <si>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</si>
  <si>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</si>
  <si>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</si>
  <si>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학번</t>
    <phoneticPr fontId="2" type="noConversion"/>
  </si>
  <si>
    <t>이름</t>
    <phoneticPr fontId="2" type="noConversion"/>
  </si>
  <si>
    <t>구조</t>
    <phoneticPr fontId="2" type="noConversion"/>
  </si>
  <si>
    <t>너사번</t>
    <phoneticPr fontId="2" type="noConversion"/>
  </si>
  <si>
    <t>나삼번</t>
    <phoneticPr fontId="2" type="noConversion"/>
  </si>
  <si>
    <t>김이번</t>
    <phoneticPr fontId="2" type="noConversion"/>
  </si>
  <si>
    <t>강일번</t>
    <phoneticPr fontId="2" type="noConversion"/>
  </si>
  <si>
    <t>강서</t>
    <phoneticPr fontId="2" type="noConversion"/>
  </si>
  <si>
    <t>양천</t>
    <phoneticPr fontId="2" type="noConversion"/>
  </si>
  <si>
    <t>주소</t>
    <phoneticPr fontId="2" type="noConversion"/>
  </si>
  <si>
    <t xml:space="preserve">경향학원 </t>
    <phoneticPr fontId="2" type="noConversion"/>
  </si>
  <si>
    <t>공급자</t>
    <phoneticPr fontId="2" type="noConversion"/>
  </si>
  <si>
    <t>등록번호</t>
    <phoneticPr fontId="2" type="noConversion"/>
  </si>
  <si>
    <t>1121-00-0000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</si>
  <si>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</si>
  <si>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</si>
  <si>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</si>
  <si>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</si>
  <si>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</si>
  <si>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>사업장</t>
    <phoneticPr fontId="2" type="noConversion"/>
  </si>
  <si>
    <t>전화번호</t>
    <phoneticPr fontId="2" type="noConversion"/>
  </si>
  <si>
    <t>상호
(법인명)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</si>
</sst>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80" fontId="5" fillId="0" borderId="7" xfId="0" applyNumberFormat="1" applyFont="1" applyBorder="1">
      <alignment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45719</xdr:colOff>
      <xdr:row>0</xdr:row>
      <xdr:rowOff>45719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1060" y="0"/>
          <a:ext cx="45719" cy="4571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15240</xdr:colOff>
      <xdr:row>0</xdr:row>
      <xdr:rowOff>7620</xdr:rowOff>
    </xdr:from>
    <xdr:to>
      <xdr:col>7</xdr:col>
      <xdr:colOff>1280160</xdr:colOff>
      <xdr:row>2</xdr:row>
      <xdr:rowOff>213360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91540" y="7620"/>
          <a:ext cx="5059680" cy="66294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 b="0"/>
            <a:t>♣견적서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</xdr:colOff>
          <xdr:row>33</xdr:row>
          <xdr:rowOff>152400</xdr:rowOff>
        </xdr:from>
        <xdr:to>
          <xdr:col>9</xdr:col>
          <xdr:colOff>861060</xdr:colOff>
          <xdr:row>35</xdr:row>
          <xdr:rowOff>45720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회원할인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M8" sqref="M8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79C00-65BB-43BF-B657-FC04AD3601A3}">
  <dimension ref="A1:H5"/>
  <sheetViews>
    <sheetView workbookViewId="0">
      <selection activeCell="H2" sqref="H2"/>
    </sheetView>
  </sheetViews>
  <sheetFormatPr defaultRowHeight="17.399999999999999"/>
  <sheetData>
    <row r="1" spans="1:8">
      <c r="A1" t="s">
        <v>38</v>
      </c>
      <c r="B1" t="s">
        <v>39</v>
      </c>
      <c r="C1" t="s">
        <v>40</v>
      </c>
    </row>
    <row r="2" spans="1:8">
      <c r="A2">
        <v>10101</v>
      </c>
      <c r="B2" t="s">
        <v>44</v>
      </c>
      <c r="C2" t="s">
        <v>45</v>
      </c>
      <c r="E2" t="s">
        <v>38</v>
      </c>
      <c r="F2">
        <v>10104</v>
      </c>
      <c r="G2" t="s">
        <v>38</v>
      </c>
      <c r="H2">
        <f ca="1">IFERROR(INDEX(R2,MATCH(H2,R1,0)),"")</f>
        <v>0</v>
      </c>
    </row>
    <row r="3" spans="1:8">
      <c r="A3">
        <v>10102</v>
      </c>
      <c r="B3" t="s">
        <v>43</v>
      </c>
      <c r="C3" t="s">
        <v>46</v>
      </c>
      <c r="E3" t="s">
        <v>39</v>
      </c>
      <c r="F3" t="str">
        <f>IFERROR(VLOOKUP(F2,A2:$C$5,2,0),"")</f>
        <v>너사번</v>
      </c>
      <c r="G3" t="s">
        <v>39</v>
      </c>
    </row>
    <row r="4" spans="1:8">
      <c r="A4">
        <v>10103</v>
      </c>
      <c r="B4" t="s">
        <v>42</v>
      </c>
      <c r="C4" t="s">
        <v>45</v>
      </c>
      <c r="E4" t="s">
        <v>47</v>
      </c>
      <c r="F4" t="str">
        <f>IFERROR(VLOOKUP(F2,$A$2:$C$5,3,0),"")</f>
        <v>양천</v>
      </c>
      <c r="G4" t="s">
        <v>47</v>
      </c>
    </row>
    <row r="5" spans="1:8">
      <c r="A5">
        <v>10104</v>
      </c>
      <c r="B5" t="s">
        <v>41</v>
      </c>
      <c r="C5" t="s">
        <v>46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topLeftCell="B1" zoomScale="115" zoomScaleNormal="115" workbookViewId="0">
      <selection activeCell="H35" sqref="H35"/>
    </sheetView>
  </sheetViews>
  <sheetFormatPr defaultRowHeight="14.4"/>
  <cols>
    <col min="1" max="1" width="2.69921875" style="6" customWidth="1"/>
    <col min="2" max="2" width="8.79687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9" t="s">
        <v>48</v>
      </c>
      <c r="C5" s="69"/>
      <c r="D5" s="70" t="s">
        <v>49</v>
      </c>
      <c r="E5" s="9" t="s">
        <v>50</v>
      </c>
      <c r="F5" s="87" t="s">
        <v>51</v>
      </c>
      <c r="G5" s="88"/>
      <c r="H5" s="89"/>
      <c r="I5" s="60"/>
    </row>
    <row r="6" spans="1:52" ht="31.2">
      <c r="B6" s="79">
        <v>45667</v>
      </c>
      <c r="C6" s="80"/>
      <c r="D6" s="71"/>
      <c r="E6" s="10" t="s">
        <v>59</v>
      </c>
      <c r="F6" s="11" t="s">
        <v>52</v>
      </c>
      <c r="G6" s="11" t="s">
        <v>53</v>
      </c>
      <c r="H6" s="12" t="s">
        <v>54</v>
      </c>
      <c r="I6" s="61"/>
    </row>
    <row r="7" spans="1:52" ht="16.5" customHeight="1">
      <c r="B7" s="13"/>
      <c r="C7" s="13"/>
      <c r="D7" s="71"/>
      <c r="E7" s="11" t="s">
        <v>57</v>
      </c>
      <c r="F7" s="73" t="s">
        <v>55</v>
      </c>
      <c r="G7" s="74"/>
      <c r="H7" s="75"/>
      <c r="I7" s="61"/>
    </row>
    <row r="8" spans="1:52" ht="16.5" customHeight="1" thickBot="1">
      <c r="B8" s="14"/>
      <c r="C8" s="14"/>
      <c r="D8" s="72"/>
      <c r="E8" s="21" t="s">
        <v>58</v>
      </c>
      <c r="F8" s="76" t="s">
        <v>56</v>
      </c>
      <c r="G8" s="77"/>
      <c r="H8" s="78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92"/>
      <c r="F10" s="92"/>
      <c r="G10" s="92"/>
      <c r="H10" s="38" t="s">
        <v>25</v>
      </c>
    </row>
    <row r="11" spans="1:52" ht="18" customHeight="1">
      <c r="B11" s="39" t="s">
        <v>26</v>
      </c>
      <c r="C11" s="90" t="s">
        <v>3</v>
      </c>
      <c r="D11" s="91"/>
      <c r="E11" s="65" t="s">
        <v>5</v>
      </c>
      <c r="F11" s="65" t="s">
        <v>27</v>
      </c>
      <c r="G11" s="65" t="s">
        <v>28</v>
      </c>
      <c r="H11" s="65" t="s">
        <v>29</v>
      </c>
      <c r="I11" s="62"/>
      <c r="J11" s="16"/>
    </row>
    <row r="12" spans="1:52">
      <c r="B12" s="16">
        <v>101</v>
      </c>
      <c r="C12" s="85" t="str">
        <f t="shared" ref="C12:C21" si="0">IFERROR(VLOOKUP(B12,상품목록,2,0),"")</f>
        <v>부사</v>
      </c>
      <c r="D12" s="86"/>
      <c r="E12" s="40">
        <f t="shared" ref="E12:E21" si="1">IFERROR(VLOOKUP(B12,상품목록,4,0),"")</f>
        <v>60000</v>
      </c>
      <c r="F12" s="41"/>
      <c r="G12" s="16" t="str">
        <f t="shared" ref="G12:G21" si="2">IFERROR(VLOOKUP(B12,상품목록,3,0),"")</f>
        <v>Box</v>
      </c>
      <c r="H12" s="42"/>
      <c r="I12" s="62"/>
    </row>
    <row r="13" spans="1:52">
      <c r="B13" s="17">
        <v>102</v>
      </c>
      <c r="C13" s="85" t="str">
        <f t="shared" si="0"/>
        <v>토마토</v>
      </c>
      <c r="D13" s="86"/>
      <c r="E13" s="40">
        <f t="shared" si="1"/>
        <v>1500</v>
      </c>
      <c r="F13" s="41"/>
      <c r="G13" s="16" t="str">
        <f t="shared" si="2"/>
        <v>Kg</v>
      </c>
      <c r="H13" s="42"/>
      <c r="I13" s="62"/>
    </row>
    <row r="14" spans="1:52">
      <c r="B14" s="17">
        <v>103</v>
      </c>
      <c r="C14" s="85" t="str">
        <f t="shared" si="0"/>
        <v>수박</v>
      </c>
      <c r="D14" s="86"/>
      <c r="E14" s="40">
        <f t="shared" si="1"/>
        <v>12500</v>
      </c>
      <c r="F14" s="43"/>
      <c r="G14" s="16" t="str">
        <f t="shared" si="2"/>
        <v>개당</v>
      </c>
      <c r="H14" s="42"/>
      <c r="I14" s="62"/>
    </row>
    <row r="15" spans="1:52">
      <c r="B15" s="17">
        <v>104</v>
      </c>
      <c r="C15" s="85" t="str">
        <f t="shared" si="0"/>
        <v>딸기</v>
      </c>
      <c r="D15" s="86"/>
      <c r="E15" s="40">
        <f t="shared" si="1"/>
        <v>5000</v>
      </c>
      <c r="F15" s="43"/>
      <c r="G15" s="16" t="str">
        <f t="shared" si="2"/>
        <v>Kg</v>
      </c>
      <c r="H15" s="42"/>
      <c r="I15" s="62"/>
    </row>
    <row r="16" spans="1:52">
      <c r="B16" s="17">
        <v>105</v>
      </c>
      <c r="C16" s="85" t="str">
        <f t="shared" si="0"/>
        <v>참외</v>
      </c>
      <c r="D16" s="86"/>
      <c r="E16" s="40">
        <f t="shared" si="1"/>
        <v>3400</v>
      </c>
      <c r="F16" s="43"/>
      <c r="G16" s="16" t="str">
        <f t="shared" si="2"/>
        <v>Kg</v>
      </c>
      <c r="H16" s="42"/>
      <c r="I16" s="62"/>
    </row>
    <row r="17" spans="2:12">
      <c r="B17" s="17">
        <v>106</v>
      </c>
      <c r="C17" s="85" t="str">
        <f t="shared" si="0"/>
        <v>메론</v>
      </c>
      <c r="D17" s="86"/>
      <c r="E17" s="40">
        <f t="shared" si="1"/>
        <v>1800</v>
      </c>
      <c r="F17" s="43"/>
      <c r="G17" s="16" t="str">
        <f t="shared" si="2"/>
        <v>Kg</v>
      </c>
      <c r="H17" s="42"/>
      <c r="I17" s="62"/>
    </row>
    <row r="18" spans="2:12">
      <c r="B18" s="17">
        <v>107</v>
      </c>
      <c r="C18" s="85" t="str">
        <f t="shared" si="0"/>
        <v>양파</v>
      </c>
      <c r="D18" s="86"/>
      <c r="E18" s="40">
        <f t="shared" si="1"/>
        <v>800</v>
      </c>
      <c r="F18" s="43"/>
      <c r="G18" s="16" t="str">
        <f t="shared" si="2"/>
        <v>Kg</v>
      </c>
      <c r="H18" s="42"/>
      <c r="I18" s="62"/>
    </row>
    <row r="19" spans="2:12">
      <c r="B19" s="17">
        <v>108</v>
      </c>
      <c r="C19" s="85" t="str">
        <f t="shared" si="0"/>
        <v>버섯</v>
      </c>
      <c r="D19" s="86"/>
      <c r="E19" s="40">
        <f t="shared" si="1"/>
        <v>60000</v>
      </c>
      <c r="F19" s="43"/>
      <c r="G19" s="16" t="str">
        <f t="shared" si="2"/>
        <v>Box</v>
      </c>
      <c r="H19" s="42"/>
      <c r="I19" s="62"/>
    </row>
    <row r="20" spans="2:12">
      <c r="B20" s="17">
        <v>109</v>
      </c>
      <c r="C20" s="85" t="str">
        <f t="shared" si="0"/>
        <v>감자</v>
      </c>
      <c r="D20" s="86"/>
      <c r="E20" s="40">
        <f t="shared" si="1"/>
        <v>980</v>
      </c>
      <c r="F20" s="43"/>
      <c r="G20" s="16" t="str">
        <f t="shared" si="2"/>
        <v>Kg</v>
      </c>
      <c r="H20" s="42"/>
      <c r="I20" s="62"/>
    </row>
    <row r="21" spans="2:12">
      <c r="B21" s="17">
        <v>110</v>
      </c>
      <c r="C21" s="85" t="str">
        <f t="shared" si="0"/>
        <v>고구마</v>
      </c>
      <c r="D21" s="86"/>
      <c r="E21" s="40">
        <f t="shared" si="1"/>
        <v>1380</v>
      </c>
      <c r="F21" s="43"/>
      <c r="G21" s="16" t="str">
        <f t="shared" si="2"/>
        <v>Kg</v>
      </c>
      <c r="H21" s="42"/>
      <c r="I21" s="62"/>
    </row>
    <row r="22" spans="2:12">
      <c r="B22" s="17"/>
      <c r="C22" s="85"/>
      <c r="D22" s="86"/>
      <c r="E22" s="40"/>
      <c r="F22" s="43"/>
      <c r="G22" s="16"/>
      <c r="H22" s="42"/>
      <c r="I22" s="62"/>
    </row>
    <row r="23" spans="2:12">
      <c r="B23" s="17"/>
      <c r="C23" s="85"/>
      <c r="D23" s="86"/>
      <c r="E23" s="40"/>
      <c r="F23" s="43"/>
      <c r="G23" s="16"/>
      <c r="H23" s="42"/>
      <c r="I23" s="62"/>
    </row>
    <row r="24" spans="2:12">
      <c r="B24" s="17"/>
      <c r="C24" s="85"/>
      <c r="D24" s="86"/>
      <c r="E24" s="40"/>
      <c r="F24" s="43"/>
      <c r="G24" s="16"/>
      <c r="H24" s="42"/>
      <c r="I24" s="62"/>
    </row>
    <row r="25" spans="2:12">
      <c r="B25" s="17"/>
      <c r="C25" s="85"/>
      <c r="D25" s="86"/>
      <c r="E25" s="40"/>
      <c r="F25" s="43"/>
      <c r="G25" s="16"/>
      <c r="H25" s="42"/>
      <c r="I25" s="62"/>
    </row>
    <row r="26" spans="2:12">
      <c r="B26" s="17"/>
      <c r="C26" s="85"/>
      <c r="D26" s="86"/>
      <c r="E26" s="40"/>
      <c r="F26" s="43"/>
      <c r="G26" s="16"/>
      <c r="H26" s="42"/>
      <c r="I26" s="62"/>
    </row>
    <row r="27" spans="2:12">
      <c r="B27" s="17"/>
      <c r="C27" s="85"/>
      <c r="D27" s="86"/>
      <c r="E27" s="40"/>
      <c r="F27" s="43"/>
      <c r="G27" s="16"/>
      <c r="H27" s="42"/>
      <c r="I27" s="62"/>
    </row>
    <row r="28" spans="2:12">
      <c r="B28" s="17"/>
      <c r="C28" s="85"/>
      <c r="D28" s="86"/>
      <c r="E28" s="40"/>
      <c r="F28" s="43"/>
      <c r="G28" s="16"/>
      <c r="H28" s="42"/>
      <c r="I28" s="62"/>
      <c r="J28" s="44"/>
      <c r="K28" s="44"/>
      <c r="L28" s="44"/>
    </row>
    <row r="29" spans="2:12">
      <c r="B29" s="17"/>
      <c r="C29" s="85"/>
      <c r="D29" s="86"/>
      <c r="E29" s="40"/>
      <c r="F29" s="43"/>
      <c r="G29" s="16"/>
      <c r="H29" s="42"/>
      <c r="I29" s="62"/>
      <c r="J29" s="44"/>
      <c r="K29" s="44"/>
      <c r="L29" s="44"/>
    </row>
    <row r="30" spans="2:12">
      <c r="B30" s="17"/>
      <c r="C30" s="85"/>
      <c r="D30" s="86"/>
      <c r="E30" s="40"/>
      <c r="F30" s="43"/>
      <c r="G30" s="16"/>
      <c r="H30" s="42"/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81" t="s">
        <v>30</v>
      </c>
      <c r="G32" s="82"/>
      <c r="H32" s="46"/>
      <c r="I32" s="45"/>
      <c r="K32" s="44"/>
      <c r="L32" s="44"/>
    </row>
    <row r="33" spans="4:12">
      <c r="F33" s="81" t="s">
        <v>31</v>
      </c>
      <c r="G33" s="82"/>
      <c r="H33" s="46"/>
      <c r="I33" s="45"/>
      <c r="J33" s="44"/>
      <c r="K33" s="44"/>
      <c r="L33" s="44"/>
    </row>
    <row r="34" spans="4:12">
      <c r="F34" s="83" t="s">
        <v>32</v>
      </c>
      <c r="G34" s="83"/>
      <c r="H34" s="47">
        <f>IF(K35=TRUE,0,VLOOKUP(H32,배송요금,3,1))</f>
        <v>5000</v>
      </c>
      <c r="I34" s="63"/>
      <c r="J34" s="48" t="s">
        <v>33</v>
      </c>
      <c r="K34" s="44"/>
      <c r="L34" s="44"/>
    </row>
    <row r="35" spans="4:12">
      <c r="F35" s="81" t="s">
        <v>34</v>
      </c>
      <c r="G35" s="82"/>
      <c r="H35" s="93"/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4"/>
      <c r="G39" s="84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53340</xdr:colOff>
                    <xdr:row>33</xdr:row>
                    <xdr:rowOff>152400</xdr:rowOff>
                  </from>
                  <to>
                    <xdr:col>9</xdr:col>
                    <xdr:colOff>861060</xdr:colOff>
                    <xdr:row>35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상품목록 및 배송요금</vt:lpstr>
      <vt:lpstr>Sheet1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user</cp:lastModifiedBy>
  <cp:revision/>
  <dcterms:created xsi:type="dcterms:W3CDTF">2014-01-15T03:56:14Z</dcterms:created>
  <dcterms:modified xsi:type="dcterms:W3CDTF">2025-03-24T00:26:58Z</dcterms:modified>
  <cp:category/>
  <cp:contentStatus/>
</cp:coreProperties>
</file>