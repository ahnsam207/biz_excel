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29D0A576-FCDC-41C8-96B9-7F2DDCD2ADC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9" i="6" l="1"/>
  <c r="H33" i="6"/>
  <c r="H32" i="6"/>
  <c r="G12" i="6"/>
  <c r="E12" i="6"/>
  <c r="C12" i="6"/>
  <c r="H34" i="6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<sst xmlns="http://schemas.openxmlformats.org/spreadsheetml/2006/main" count="58" uniqueCount="49">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</sst>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30480</xdr:colOff>
          <xdr:row>35</xdr:row>
          <xdr:rowOff>76200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236220</xdr:colOff>
          <xdr:row>4</xdr:row>
          <xdr:rowOff>198120</xdr:rowOff>
        </xdr:from>
        <xdr:to>
          <xdr:col>9</xdr:col>
          <xdr:colOff>876300</xdr:colOff>
          <xdr:row>5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G5" sqref="G5: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8" t="s">
        <v>0</v>
      </c>
      <c r="C2" s="69"/>
      <c r="D2" s="69"/>
      <c r="E2" s="70"/>
      <c r="H2" s="68" t="s">
        <v>1</v>
      </c>
      <c r="I2" s="70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1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1"/>
      <c r="C5" s="71"/>
      <c r="D5" s="72" t="s">
        <v>38</v>
      </c>
      <c r="E5" s="9" t="s">
        <v>39</v>
      </c>
      <c r="F5" s="87" t="s">
        <v>43</v>
      </c>
      <c r="G5" s="88"/>
      <c r="H5" s="89"/>
      <c r="I5" s="62"/>
    </row>
    <row r="6" spans="1:52" ht="31.2">
      <c r="B6" s="39"/>
      <c r="C6" s="40"/>
      <c r="D6" s="73"/>
      <c r="E6" s="10" t="s">
        <v>40</v>
      </c>
      <c r="F6" s="11" t="s">
        <v>44</v>
      </c>
      <c r="G6" s="11" t="s">
        <v>45</v>
      </c>
      <c r="H6" s="12" t="s">
        <v>46</v>
      </c>
      <c r="I6" s="63"/>
    </row>
    <row r="7" spans="1:52" ht="16.5" customHeight="1">
      <c r="B7" s="13"/>
      <c r="C7" s="13"/>
      <c r="D7" s="73"/>
      <c r="E7" s="11" t="s">
        <v>41</v>
      </c>
      <c r="F7" s="75" t="s">
        <v>47</v>
      </c>
      <c r="G7" s="76"/>
      <c r="H7" s="77"/>
      <c r="I7" s="63"/>
    </row>
    <row r="8" spans="1:52" ht="16.5" customHeight="1" thickBot="1">
      <c r="B8" s="14"/>
      <c r="C8" s="14"/>
      <c r="D8" s="74"/>
      <c r="E8" s="21" t="s">
        <v>42</v>
      </c>
      <c r="F8" s="78" t="s">
        <v>48</v>
      </c>
      <c r="G8" s="79"/>
      <c r="H8" s="80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92"/>
      <c r="F10" s="92"/>
      <c r="G10" s="92"/>
      <c r="H10" s="38" t="s">
        <v>25</v>
      </c>
    </row>
    <row r="11" spans="1:52" ht="18" customHeight="1">
      <c r="B11" s="41" t="s">
        <v>26</v>
      </c>
      <c r="C11" s="90" t="s">
        <v>3</v>
      </c>
      <c r="D11" s="91"/>
      <c r="E11" s="67" t="s">
        <v>5</v>
      </c>
      <c r="F11" s="67" t="s">
        <v>27</v>
      </c>
      <c r="G11" s="67" t="s">
        <v>28</v>
      </c>
      <c r="H11" s="67" t="s">
        <v>29</v>
      </c>
      <c r="I11" s="64"/>
    </row>
    <row r="12" spans="1:52">
      <c r="B12" s="16"/>
      <c r="C12" s="85" t="str">
        <f>IFERROR(VLOOKUP(B12,상품목록,2,0),"")</f>
        <v/>
      </c>
      <c r="D12" s="86"/>
      <c r="E12" s="42" t="str">
        <f>IFERROR(VLOOKUP(B12,상품목록,4,0),"")</f>
        <v/>
      </c>
      <c r="F12" s="43"/>
      <c r="G12" s="16" t="str">
        <f>IFERROR(VLOOKUP(B12,상품목록,3,0),"")</f>
        <v/>
      </c>
      <c r="H12" s="44"/>
      <c r="I12" s="64"/>
    </row>
    <row r="13" spans="1:52">
      <c r="B13" s="17"/>
      <c r="C13" s="85"/>
      <c r="D13" s="86"/>
      <c r="E13" s="42"/>
      <c r="F13" s="43"/>
      <c r="G13" s="16"/>
      <c r="H13" s="44"/>
      <c r="I13" s="64"/>
    </row>
    <row r="14" spans="1:52">
      <c r="B14" s="17"/>
      <c r="C14" s="85"/>
      <c r="D14" s="86"/>
      <c r="E14" s="42"/>
      <c r="F14" s="45"/>
      <c r="G14" s="16"/>
      <c r="H14" s="44"/>
      <c r="I14" s="64"/>
    </row>
    <row r="15" spans="1:52">
      <c r="B15" s="17"/>
      <c r="C15" s="85"/>
      <c r="D15" s="86"/>
      <c r="E15" s="42"/>
      <c r="F15" s="45"/>
      <c r="G15" s="16"/>
      <c r="H15" s="44"/>
      <c r="I15" s="64"/>
    </row>
    <row r="16" spans="1:52">
      <c r="B16" s="17"/>
      <c r="C16" s="85"/>
      <c r="D16" s="86"/>
      <c r="E16" s="42"/>
      <c r="F16" s="45"/>
      <c r="G16" s="16"/>
      <c r="H16" s="44"/>
      <c r="I16" s="64"/>
    </row>
    <row r="17" spans="2:12">
      <c r="B17" s="17"/>
      <c r="C17" s="85"/>
      <c r="D17" s="86"/>
      <c r="E17" s="42"/>
      <c r="F17" s="45"/>
      <c r="G17" s="16"/>
      <c r="H17" s="44"/>
      <c r="I17" s="64"/>
    </row>
    <row r="18" spans="2:12">
      <c r="B18" s="17"/>
      <c r="C18" s="85"/>
      <c r="D18" s="86"/>
      <c r="E18" s="42"/>
      <c r="F18" s="45"/>
      <c r="G18" s="16"/>
      <c r="H18" s="44"/>
      <c r="I18" s="64"/>
    </row>
    <row r="19" spans="2:12">
      <c r="B19" s="17"/>
      <c r="C19" s="85"/>
      <c r="D19" s="86"/>
      <c r="E19" s="42"/>
      <c r="F19" s="45"/>
      <c r="G19" s="16"/>
      <c r="H19" s="44"/>
      <c r="I19" s="64"/>
    </row>
    <row r="20" spans="2:12">
      <c r="B20" s="17"/>
      <c r="C20" s="85"/>
      <c r="D20" s="86"/>
      <c r="E20" s="42"/>
      <c r="F20" s="45"/>
      <c r="G20" s="16"/>
      <c r="H20" s="44"/>
      <c r="I20" s="64"/>
    </row>
    <row r="21" spans="2:12">
      <c r="B21" s="17"/>
      <c r="C21" s="85"/>
      <c r="D21" s="86"/>
      <c r="E21" s="42"/>
      <c r="F21" s="45"/>
      <c r="G21" s="16"/>
      <c r="H21" s="44"/>
      <c r="I21" s="64"/>
    </row>
    <row r="22" spans="2:12">
      <c r="B22" s="17"/>
      <c r="C22" s="85"/>
      <c r="D22" s="86"/>
      <c r="E22" s="42"/>
      <c r="F22" s="45"/>
      <c r="G22" s="16"/>
      <c r="H22" s="44"/>
      <c r="I22" s="64"/>
    </row>
    <row r="23" spans="2:12">
      <c r="B23" s="17"/>
      <c r="C23" s="85"/>
      <c r="D23" s="86"/>
      <c r="E23" s="42"/>
      <c r="F23" s="45"/>
      <c r="G23" s="16"/>
      <c r="H23" s="44"/>
      <c r="I23" s="64"/>
    </row>
    <row r="24" spans="2:12">
      <c r="B24" s="17"/>
      <c r="C24" s="85"/>
      <c r="D24" s="86"/>
      <c r="E24" s="42"/>
      <c r="F24" s="45"/>
      <c r="G24" s="16"/>
      <c r="H24" s="44"/>
      <c r="I24" s="64"/>
    </row>
    <row r="25" spans="2:12">
      <c r="B25" s="17"/>
      <c r="C25" s="85"/>
      <c r="D25" s="86"/>
      <c r="E25" s="42"/>
      <c r="F25" s="45"/>
      <c r="G25" s="16"/>
      <c r="H25" s="44"/>
      <c r="I25" s="64"/>
    </row>
    <row r="26" spans="2:12">
      <c r="B26" s="17"/>
      <c r="C26" s="85"/>
      <c r="D26" s="86"/>
      <c r="E26" s="42"/>
      <c r="F26" s="45"/>
      <c r="G26" s="16"/>
      <c r="H26" s="44"/>
      <c r="I26" s="64"/>
    </row>
    <row r="27" spans="2:12">
      <c r="B27" s="17"/>
      <c r="C27" s="85"/>
      <c r="D27" s="86"/>
      <c r="E27" s="42"/>
      <c r="F27" s="45"/>
      <c r="G27" s="16"/>
      <c r="H27" s="44"/>
      <c r="I27" s="64"/>
    </row>
    <row r="28" spans="2:12">
      <c r="B28" s="17"/>
      <c r="C28" s="85"/>
      <c r="D28" s="86"/>
      <c r="E28" s="42"/>
      <c r="F28" s="45"/>
      <c r="G28" s="16"/>
      <c r="H28" s="44"/>
      <c r="I28" s="64"/>
      <c r="J28" s="46"/>
      <c r="K28" s="46"/>
      <c r="L28" s="46"/>
    </row>
    <row r="29" spans="2:12">
      <c r="B29" s="17"/>
      <c r="C29" s="85"/>
      <c r="D29" s="86"/>
      <c r="E29" s="42"/>
      <c r="F29" s="45"/>
      <c r="G29" s="16"/>
      <c r="H29" s="44"/>
      <c r="I29" s="64"/>
      <c r="J29" s="46"/>
      <c r="K29" s="46"/>
      <c r="L29" s="46"/>
    </row>
    <row r="30" spans="2:12">
      <c r="B30" s="17"/>
      <c r="C30" s="85"/>
      <c r="D30" s="86"/>
      <c r="E30" s="42"/>
      <c r="F30" s="45"/>
      <c r="G30" s="16"/>
      <c r="H30" s="44"/>
      <c r="I30" s="64"/>
      <c r="J30" s="46"/>
      <c r="K30" s="46"/>
      <c r="L30" s="46"/>
    </row>
    <row r="31" spans="2:12">
      <c r="H31" s="47"/>
      <c r="I31" s="47"/>
      <c r="J31" s="46"/>
      <c r="K31" s="46"/>
      <c r="L31" s="46"/>
    </row>
    <row r="32" spans="2:12">
      <c r="F32" s="81" t="s">
        <v>30</v>
      </c>
      <c r="G32" s="82"/>
      <c r="H32" s="48">
        <f>SUM(H12:H30)</f>
        <v>0</v>
      </c>
      <c r="I32" s="47"/>
      <c r="K32" s="46"/>
      <c r="L32" s="46"/>
    </row>
    <row r="33" spans="4:12">
      <c r="F33" s="81" t="s">
        <v>31</v>
      </c>
      <c r="G33" s="82"/>
      <c r="H33" s="48">
        <f>H32*0.1</f>
        <v>0</v>
      </c>
      <c r="I33" s="47"/>
      <c r="J33" s="46"/>
      <c r="K33" s="46"/>
      <c r="L33" s="46"/>
    </row>
    <row r="34" spans="4:12">
      <c r="F34" s="83" t="s">
        <v>32</v>
      </c>
      <c r="G34" s="83"/>
      <c r="H34" s="49">
        <f>IF(K35=TRUE,0,VLOOKUP(H32,배송요금,3,1))</f>
        <v>0</v>
      </c>
      <c r="I34" s="65"/>
      <c r="J34" s="50" t="s">
        <v>33</v>
      </c>
      <c r="K34" s="46"/>
      <c r="L34" s="46"/>
    </row>
    <row r="35" spans="4:12">
      <c r="F35" s="81" t="s">
        <v>34</v>
      </c>
      <c r="G35" s="82"/>
      <c r="H35" s="48"/>
      <c r="I35" s="47"/>
      <c r="J35" s="46"/>
      <c r="K35" s="51" t="b">
        <v>1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4">
        <f>B6+10</f>
        <v>10</v>
      </c>
      <c r="G39" s="84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2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" xr:uid="{00000000-0002-0000-0100-000000000000}">
      <formula1>상품번호</formula1>
    </dataValidation>
    <dataValidation type="list" allowBlank="1" showInputMessage="1" showErrorMessage="1" sqref="B13:B30" xr:uid="{B1DBE485-3B4C-45B6-A696-31ACCC458854}">
      <formula1>"상품번호"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30480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8</xdr:col>
                    <xdr:colOff>236220</xdr:colOff>
                    <xdr:row>4</xdr:row>
                    <xdr:rowOff>198120</xdr:rowOff>
                  </from>
                  <to>
                    <xdr:col>9</xdr:col>
                    <xdr:colOff>876300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2025-03-25T03:13:52Z</dcterms:modified>
  <cp:category/>
  <cp:contentStatus/>
</cp:coreProperties>
</file>