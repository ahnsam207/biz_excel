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1F0FA4BE-6172-41AD-9192-93BECDABF2A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  <sheet name="Sheet1" sheetId="7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3" i="6" l="1"/>
  <c r="H32" i="6"/>
  <c r="G12" i="6"/>
  <c r="E12" i="6"/>
  <c r="H22" i="6"/>
  <c r="H23" i="6"/>
  <c r="H24" i="6"/>
  <c r="H25" i="6"/>
  <c r="H26" i="6"/>
  <c r="H27" i="6"/>
  <c r="H28" i="6"/>
  <c r="H29" i="6"/>
  <c r="H30" i="6"/>
  <c r="G13" i="6" l="1"/>
  <c r="G14" i="6"/>
  <c r="G15" i="6"/>
  <c r="G16" i="6"/>
  <c r="G17" i="6"/>
  <c r="G18" i="6"/>
  <c r="G19" i="6"/>
  <c r="G20" i="6"/>
  <c r="G21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C20" i="6"/>
  <c r="C21" i="6"/>
  <c r="C13" i="6"/>
  <c r="C14" i="6"/>
  <c r="C15" i="6"/>
  <c r="C16" i="6"/>
  <c r="C17" i="6"/>
  <c r="C18" i="6"/>
  <c r="C19" i="6"/>
  <c r="C12" i="6"/>
  <c r="H12" i="6" l="1"/>
  <c r="F4" i="7"/>
  <c r="F3" i="7"/>
  <c r="H34" i="6" l="1"/>
  <c r="H35" i="6" l="1"/>
  <c r="E10" i="6" s="1"/>
  <c r="H2" i="7" l="1"/>
</calcChain>
</file>

<file path=xl/sharedStrings.xml><?xml version="1.0" encoding="utf-8"?>
<sst xmlns="http://schemas.openxmlformats.org/spreadsheetml/2006/main" count="76" uniqueCount="60">
  <si>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</si>
  <si>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</si>
  <si>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</si>
  <si>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</si>
  <si>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</si>
  <si>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</si>
  <si>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</si>
  <si>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</si>
  <si>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</si>
  <si>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</si>
  <si>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</si>
  <si>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</si>
  <si>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</si>
  <si>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</si>
  <si>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</si>
  <si>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</si>
  <si>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</si>
  <si>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</si>
  <si>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</si>
  <si>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</si>
  <si>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</si>
  <si>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</si>
  <si>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</si>
  <si>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</si>
  <si>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</si>
  <si>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</si>
  <si>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</si>
  <si>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</si>
  <si>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</si>
  <si>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</si>
  <si>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</si>
  <si>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</si>
  <si>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</si>
  <si>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</si>
  <si>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</si>
  <si>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</si>
  <si>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</si>
  <si>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</si>
  <si>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</si>
  <si>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</si>
  <si>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</si>
  <si>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</si>
  <si>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</si>
  <si>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</si>
  <si>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</si>
  <si>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</si>
  <si>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</si>
  <si>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</si>
  <si>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</si>
  <si>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</si>
  <si>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</si>
  <si>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1121-00-0000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</si>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</sst>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45719</xdr:colOff>
      <xdr:row>0</xdr:row>
      <xdr:rowOff>45719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61060" y="0"/>
          <a:ext cx="45719" cy="45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91540" y="7620"/>
          <a:ext cx="5059680" cy="66294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0"/>
            <a:t>♣견적서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33</xdr:row>
          <xdr:rowOff>137160</xdr:rowOff>
        </xdr:from>
        <xdr:to>
          <xdr:col>10</xdr:col>
          <xdr:colOff>15240</xdr:colOff>
          <xdr:row>35</xdr:row>
          <xdr:rowOff>30480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F19" sqref="F19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topLeftCell="A4" zoomScaleNormal="100" workbookViewId="0">
      <selection activeCell="J19" sqref="J19"/>
    </sheetView>
  </sheetViews>
  <sheetFormatPr defaultRowHeight="14.4"/>
  <cols>
    <col min="1" max="1" width="2.69921875" style="6" customWidth="1"/>
    <col min="2" max="2" width="8.7968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48</v>
      </c>
      <c r="C5" s="70"/>
      <c r="D5" s="71" t="s">
        <v>49</v>
      </c>
      <c r="E5" s="9" t="s">
        <v>50</v>
      </c>
      <c r="F5" s="88" t="s">
        <v>51</v>
      </c>
      <c r="G5" s="89"/>
      <c r="H5" s="90"/>
      <c r="I5" s="60"/>
    </row>
    <row r="6" spans="1:52" ht="31.2">
      <c r="B6" s="80">
        <v>45667</v>
      </c>
      <c r="C6" s="81"/>
      <c r="D6" s="72"/>
      <c r="E6" s="10" t="s">
        <v>59</v>
      </c>
      <c r="F6" s="11" t="s">
        <v>52</v>
      </c>
      <c r="G6" s="11" t="s">
        <v>53</v>
      </c>
      <c r="H6" s="12" t="s">
        <v>54</v>
      </c>
      <c r="I6" s="61"/>
    </row>
    <row r="7" spans="1:52" ht="16.5" customHeight="1">
      <c r="B7" s="13"/>
      <c r="C7" s="13"/>
      <c r="D7" s="72"/>
      <c r="E7" s="11" t="s">
        <v>57</v>
      </c>
      <c r="F7" s="74" t="s">
        <v>55</v>
      </c>
      <c r="G7" s="75"/>
      <c r="H7" s="76"/>
      <c r="I7" s="61"/>
    </row>
    <row r="8" spans="1:52" ht="16.5" customHeight="1" thickBot="1">
      <c r="B8" s="14"/>
      <c r="C8" s="14"/>
      <c r="D8" s="73"/>
      <c r="E8" s="21" t="s">
        <v>58</v>
      </c>
      <c r="F8" s="77" t="s">
        <v>56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>
        <f>H35</f>
        <v>8300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  <c r="J11" s="16"/>
    </row>
    <row r="12" spans="1:52">
      <c r="B12" s="16">
        <v>102</v>
      </c>
      <c r="C12" s="86" t="str">
        <f t="shared" ref="C12:C21" si="0">IFERROR(VLOOKUP(B12,상품목록,2,0),"")</f>
        <v>토마토</v>
      </c>
      <c r="D12" s="87"/>
      <c r="E12" s="40">
        <f t="shared" ref="E12:E21" si="1">IFERROR(VLOOKUP(B12,상품목록,4,0),"")</f>
        <v>1500</v>
      </c>
      <c r="F12" s="41">
        <v>2</v>
      </c>
      <c r="G12" s="16" t="str">
        <f>IFERROR(VLOOKUP(B12,상품목록,3,0),"")</f>
        <v>Kg</v>
      </c>
      <c r="H12" s="42">
        <f>IFERROR(E12*F12,"")</f>
        <v>3000</v>
      </c>
      <c r="I12" s="62"/>
    </row>
    <row r="13" spans="1:52">
      <c r="B13" s="17"/>
      <c r="C13" s="86" t="str">
        <f t="shared" si="0"/>
        <v/>
      </c>
      <c r="D13" s="87"/>
      <c r="E13" s="40" t="str">
        <f t="shared" si="1"/>
        <v/>
      </c>
      <c r="F13" s="41"/>
      <c r="G13" s="16" t="str">
        <f t="shared" ref="G13:G21" si="2">IFERROR(VLOOKUP(B13,상품목록,3,0),"")</f>
        <v/>
      </c>
      <c r="H13" s="42" t="str">
        <f t="shared" ref="H13:H30" si="3">IFERROR(E13*F13,"")</f>
        <v/>
      </c>
      <c r="I13" s="62"/>
    </row>
    <row r="14" spans="1:52">
      <c r="B14" s="17"/>
      <c r="C14" s="86" t="str">
        <f t="shared" si="0"/>
        <v/>
      </c>
      <c r="D14" s="87"/>
      <c r="E14" s="40" t="str">
        <f t="shared" si="1"/>
        <v/>
      </c>
      <c r="F14" s="43"/>
      <c r="G14" s="16" t="str">
        <f t="shared" si="2"/>
        <v/>
      </c>
      <c r="H14" s="42" t="str">
        <f t="shared" si="3"/>
        <v/>
      </c>
      <c r="I14" s="62"/>
    </row>
    <row r="15" spans="1:52">
      <c r="B15" s="17"/>
      <c r="C15" s="86" t="str">
        <f t="shared" si="0"/>
        <v/>
      </c>
      <c r="D15" s="87"/>
      <c r="E15" s="40" t="str">
        <f t="shared" si="1"/>
        <v/>
      </c>
      <c r="F15" s="43"/>
      <c r="G15" s="16" t="str">
        <f t="shared" si="2"/>
        <v/>
      </c>
      <c r="H15" s="42" t="str">
        <f t="shared" si="3"/>
        <v/>
      </c>
      <c r="I15" s="62"/>
    </row>
    <row r="16" spans="1:52">
      <c r="B16" s="17"/>
      <c r="C16" s="86" t="str">
        <f t="shared" si="0"/>
        <v/>
      </c>
      <c r="D16" s="87"/>
      <c r="E16" s="40" t="str">
        <f t="shared" si="1"/>
        <v/>
      </c>
      <c r="F16" s="43"/>
      <c r="G16" s="16" t="str">
        <f t="shared" si="2"/>
        <v/>
      </c>
      <c r="H16" s="42" t="str">
        <f t="shared" si="3"/>
        <v/>
      </c>
      <c r="I16" s="62"/>
    </row>
    <row r="17" spans="2:12">
      <c r="B17" s="17"/>
      <c r="C17" s="86" t="str">
        <f t="shared" si="0"/>
        <v/>
      </c>
      <c r="D17" s="87"/>
      <c r="E17" s="40" t="str">
        <f t="shared" si="1"/>
        <v/>
      </c>
      <c r="F17" s="43"/>
      <c r="G17" s="16" t="str">
        <f t="shared" si="2"/>
        <v/>
      </c>
      <c r="H17" s="42" t="str">
        <f t="shared" si="3"/>
        <v/>
      </c>
      <c r="I17" s="62"/>
    </row>
    <row r="18" spans="2:12">
      <c r="B18" s="17"/>
      <c r="C18" s="86" t="str">
        <f t="shared" si="0"/>
        <v/>
      </c>
      <c r="D18" s="87"/>
      <c r="E18" s="40" t="str">
        <f t="shared" si="1"/>
        <v/>
      </c>
      <c r="F18" s="43"/>
      <c r="G18" s="16" t="str">
        <f t="shared" si="2"/>
        <v/>
      </c>
      <c r="H18" s="42" t="str">
        <f t="shared" si="3"/>
        <v/>
      </c>
      <c r="I18" s="62"/>
    </row>
    <row r="19" spans="2:12">
      <c r="B19" s="17"/>
      <c r="C19" s="86" t="str">
        <f t="shared" si="0"/>
        <v/>
      </c>
      <c r="D19" s="87"/>
      <c r="E19" s="40" t="str">
        <f t="shared" si="1"/>
        <v/>
      </c>
      <c r="F19" s="43"/>
      <c r="G19" s="16" t="str">
        <f t="shared" si="2"/>
        <v/>
      </c>
      <c r="H19" s="42" t="str">
        <f t="shared" si="3"/>
        <v/>
      </c>
      <c r="I19" s="62"/>
    </row>
    <row r="20" spans="2:12">
      <c r="B20" s="17"/>
      <c r="C20" s="86" t="str">
        <f t="shared" si="0"/>
        <v/>
      </c>
      <c r="D20" s="87"/>
      <c r="E20" s="40" t="str">
        <f t="shared" si="1"/>
        <v/>
      </c>
      <c r="F20" s="43"/>
      <c r="G20" s="16" t="str">
        <f t="shared" si="2"/>
        <v/>
      </c>
      <c r="H20" s="42" t="str">
        <f t="shared" si="3"/>
        <v/>
      </c>
      <c r="I20" s="62"/>
    </row>
    <row r="21" spans="2:12">
      <c r="B21" s="17"/>
      <c r="C21" s="86" t="str">
        <f t="shared" si="0"/>
        <v/>
      </c>
      <c r="D21" s="87"/>
      <c r="E21" s="40" t="str">
        <f t="shared" si="1"/>
        <v/>
      </c>
      <c r="F21" s="43"/>
      <c r="G21" s="16" t="str">
        <f t="shared" si="2"/>
        <v/>
      </c>
      <c r="H21" s="42" t="str">
        <f t="shared" si="3"/>
        <v/>
      </c>
      <c r="I21" s="62"/>
    </row>
    <row r="22" spans="2:12">
      <c r="B22" s="17"/>
      <c r="C22" s="86"/>
      <c r="D22" s="87"/>
      <c r="E22" s="40"/>
      <c r="F22" s="43"/>
      <c r="G22" s="16"/>
      <c r="H22" s="42">
        <f t="shared" si="3"/>
        <v>0</v>
      </c>
      <c r="I22" s="62"/>
    </row>
    <row r="23" spans="2:12">
      <c r="B23" s="17"/>
      <c r="C23" s="86"/>
      <c r="D23" s="87"/>
      <c r="E23" s="40"/>
      <c r="F23" s="43"/>
      <c r="G23" s="16"/>
      <c r="H23" s="42">
        <f t="shared" si="3"/>
        <v>0</v>
      </c>
      <c r="I23" s="62"/>
    </row>
    <row r="24" spans="2:12">
      <c r="B24" s="17"/>
      <c r="C24" s="86"/>
      <c r="D24" s="87"/>
      <c r="E24" s="40"/>
      <c r="F24" s="43"/>
      <c r="G24" s="16"/>
      <c r="H24" s="42">
        <f t="shared" si="3"/>
        <v>0</v>
      </c>
      <c r="I24" s="62"/>
    </row>
    <row r="25" spans="2:12">
      <c r="B25" s="17"/>
      <c r="C25" s="86"/>
      <c r="D25" s="87"/>
      <c r="E25" s="40"/>
      <c r="F25" s="43"/>
      <c r="G25" s="16"/>
      <c r="H25" s="42">
        <f t="shared" si="3"/>
        <v>0</v>
      </c>
      <c r="I25" s="62"/>
    </row>
    <row r="26" spans="2:12">
      <c r="B26" s="17"/>
      <c r="C26" s="86"/>
      <c r="D26" s="87"/>
      <c r="E26" s="40"/>
      <c r="F26" s="43"/>
      <c r="G26" s="16"/>
      <c r="H26" s="42">
        <f t="shared" si="3"/>
        <v>0</v>
      </c>
      <c r="I26" s="62"/>
    </row>
    <row r="27" spans="2:12">
      <c r="B27" s="17"/>
      <c r="C27" s="86"/>
      <c r="D27" s="87"/>
      <c r="E27" s="40"/>
      <c r="F27" s="43"/>
      <c r="G27" s="16"/>
      <c r="H27" s="42">
        <f t="shared" si="3"/>
        <v>0</v>
      </c>
      <c r="I27" s="62"/>
    </row>
    <row r="28" spans="2:12">
      <c r="B28" s="17"/>
      <c r="C28" s="86"/>
      <c r="D28" s="87"/>
      <c r="E28" s="40"/>
      <c r="F28" s="43"/>
      <c r="G28" s="16"/>
      <c r="H28" s="42">
        <f t="shared" si="3"/>
        <v>0</v>
      </c>
      <c r="I28" s="62"/>
      <c r="J28" s="44"/>
      <c r="K28" s="44"/>
      <c r="L28" s="44"/>
    </row>
    <row r="29" spans="2:12">
      <c r="B29" s="17"/>
      <c r="C29" s="86"/>
      <c r="D29" s="87"/>
      <c r="E29" s="40"/>
      <c r="F29" s="43"/>
      <c r="G29" s="16"/>
      <c r="H29" s="42">
        <f t="shared" si="3"/>
        <v>0</v>
      </c>
      <c r="I29" s="62"/>
      <c r="J29" s="44"/>
      <c r="K29" s="44"/>
      <c r="L29" s="44"/>
    </row>
    <row r="30" spans="2:12">
      <c r="B30" s="17"/>
      <c r="C30" s="86"/>
      <c r="D30" s="87"/>
      <c r="E30" s="40"/>
      <c r="F30" s="43"/>
      <c r="G30" s="16"/>
      <c r="H30" s="42">
        <f t="shared" si="3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2" t="s">
        <v>30</v>
      </c>
      <c r="G32" s="83"/>
      <c r="H32" s="46">
        <f>SUM(H12:H30)</f>
        <v>3000</v>
      </c>
      <c r="I32" s="45"/>
      <c r="K32" s="44"/>
      <c r="L32" s="44"/>
    </row>
    <row r="33" spans="4:12">
      <c r="F33" s="82" t="s">
        <v>31</v>
      </c>
      <c r="G33" s="83"/>
      <c r="H33" s="46">
        <f>H32*0.1</f>
        <v>300</v>
      </c>
      <c r="I33" s="45"/>
      <c r="J33" s="44"/>
      <c r="K33" s="44"/>
      <c r="L33" s="44"/>
    </row>
    <row r="34" spans="4:12">
      <c r="F34" s="84" t="s">
        <v>32</v>
      </c>
      <c r="G34" s="84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82" t="s">
        <v>34</v>
      </c>
      <c r="G35" s="83"/>
      <c r="H35" s="46">
        <f>SUM(H32:H34)</f>
        <v>8300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/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15240</xdr:colOff>
                    <xdr:row>33</xdr:row>
                    <xdr:rowOff>137160</xdr:rowOff>
                  </from>
                  <to>
                    <xdr:col>10</xdr:col>
                    <xdr:colOff>15240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workbookViewId="0">
      <selection activeCell="C24" sqref="C24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견적서</vt:lpstr>
      <vt:lpstr>Sheet1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2025-03-25T03:15:21Z</dcterms:modified>
  <cp:category/>
  <cp:contentStatus/>
</cp:coreProperties>
</file>