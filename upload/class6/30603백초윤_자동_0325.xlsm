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603 백초윤\비즈니스엑셀\"/>
    </mc:Choice>
  </mc:AlternateContent>
  <xr:revisionPtr revIDLastSave="0" documentId="8_{FE402042-96EF-4D78-B9C6-6CEC12B66F0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6" l="1"/>
  <c r="F39" i="6" s="1"/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H12" i="6" s="1"/>
  <c r="C12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<sst xmlns="http://schemas.openxmlformats.org/spreadsheetml/2006/main" count="59" uniqueCount="50">
  <si>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</si>
  <si>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</si>
  <si>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</si>
  <si>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</si>
  <si>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</si>
  <si>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</si>
  <si>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</si>
  <si>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</si>
  <si>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</si>
  <si>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</si>
  <si>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</si>
  <si>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</si>
  <si>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</si>
  <si>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</si>
  <si>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</si>
  <si>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</si>
  <si>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</si>
  <si>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</si>
  <si>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</si>
  <si>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</si>
  <si>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</si>
  <si>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</si>
  <si>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</si>
  <si>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</si>
  <si>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</si>
  <si>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</si>
  <si>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</si>
  <si>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</si>
  <si>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</si>
  <si>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</si>
  <si>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</si>
  <si>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</si>
  <si>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</si>
  <si>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</si>
  <si>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</si>
  <si>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</si>
  <si>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</si>
  <si>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</si>
  <si>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</si>
  <si>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</si>
  <si>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</si>
  <si>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</si>
  <si>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성명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</si>
  <si>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</si>
  <si>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</si>
  <si>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</si>
  <si>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121-00-0000</t>
    <phoneticPr fontId="2" type="noConversion"/>
  </si>
  <si>
    <t>3661-3425</t>
    <phoneticPr fontId="2" type="noConversion"/>
  </si>
  <si>
    <t>공급자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</si>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</sst>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5" fillId="0" borderId="7" xfId="0" applyNumberFormat="1" applyFont="1" applyBorder="1" applyAlignment="1">
      <alignment horizontal="right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="130" zoomScaleNormal="130" workbookViewId="0">
      <selection activeCell="H7" sqref="H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5" t="s">
        <v>0</v>
      </c>
      <c r="C2" s="66"/>
      <c r="D2" s="66"/>
      <c r="E2" s="67"/>
      <c r="H2" s="65" t="s">
        <v>1</v>
      </c>
      <c r="I2" s="67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7" zoomScaleNormal="100" workbookViewId="0">
      <selection activeCell="B5" sqref="B5:C5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3.59765625" style="6" customWidth="1"/>
    <col min="6" max="6" width="10.5" style="6" customWidth="1"/>
    <col min="7" max="7" width="8.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9" t="s">
        <v>49</v>
      </c>
      <c r="C5" s="69"/>
      <c r="D5" s="70" t="s">
        <v>48</v>
      </c>
      <c r="E5" s="9" t="s">
        <v>38</v>
      </c>
      <c r="F5" s="87" t="s">
        <v>46</v>
      </c>
      <c r="G5" s="88"/>
      <c r="H5" s="89"/>
      <c r="I5" s="59"/>
    </row>
    <row r="6" spans="1:52" ht="31.2">
      <c r="B6" s="79">
        <f ca="1">TODAY()</f>
        <v>45741</v>
      </c>
      <c r="C6" s="80"/>
      <c r="D6" s="71"/>
      <c r="E6" s="10" t="s">
        <v>39</v>
      </c>
      <c r="F6" s="11" t="s">
        <v>44</v>
      </c>
      <c r="G6" s="11" t="s">
        <v>42</v>
      </c>
      <c r="H6" s="12" t="s">
        <v>45</v>
      </c>
      <c r="I6" s="60"/>
    </row>
    <row r="7" spans="1:52" ht="16.5" customHeight="1">
      <c r="B7" s="13"/>
      <c r="C7" s="13"/>
      <c r="D7" s="71"/>
      <c r="E7" s="11" t="s">
        <v>40</v>
      </c>
      <c r="F7" s="73" t="s">
        <v>43</v>
      </c>
      <c r="G7" s="74"/>
      <c r="H7" s="75"/>
      <c r="I7" s="60"/>
    </row>
    <row r="8" spans="1:52" ht="16.5" customHeight="1" thickBot="1">
      <c r="B8" s="14"/>
      <c r="C8" s="14"/>
      <c r="D8" s="72"/>
      <c r="E8" s="21" t="s">
        <v>41</v>
      </c>
      <c r="F8" s="76" t="s">
        <v>47</v>
      </c>
      <c r="G8" s="77"/>
      <c r="H8" s="78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4"/>
      <c r="D10" s="37" t="s">
        <v>24</v>
      </c>
      <c r="E10" s="68">
        <f>H35</f>
        <v>0</v>
      </c>
      <c r="F10" s="68"/>
      <c r="G10" s="68"/>
      <c r="H10" s="38" t="s">
        <v>25</v>
      </c>
    </row>
    <row r="11" spans="1:52" ht="18" customHeight="1">
      <c r="B11" s="39" t="s">
        <v>26</v>
      </c>
      <c r="C11" s="90" t="s">
        <v>3</v>
      </c>
      <c r="D11" s="91"/>
      <c r="E11" s="64" t="s">
        <v>5</v>
      </c>
      <c r="F11" s="64" t="s">
        <v>27</v>
      </c>
      <c r="G11" s="64" t="s">
        <v>28</v>
      </c>
      <c r="H11" s="64" t="s">
        <v>29</v>
      </c>
      <c r="I11" s="61"/>
    </row>
    <row r="12" spans="1:52">
      <c r="B12" s="16"/>
      <c r="C12" s="85" t="str">
        <f t="shared" ref="C12:C30" si="0">IFERROR(VLOOKUP(B12,상품목록,2,0),"")</f>
        <v/>
      </c>
      <c r="D12" s="86"/>
      <c r="E12" s="40" t="str">
        <f t="shared" ref="E12:E30" si="1">IFERROR(VLOOKUP(B12,상품목록,4,0),"")</f>
        <v/>
      </c>
      <c r="F12" s="41"/>
      <c r="G12" s="16" t="str">
        <f t="shared" ref="G12:G30" si="2">IFERROR(VLOOKUP(B12,상품목록,3,0),"")</f>
        <v/>
      </c>
      <c r="H12" s="92" t="str">
        <f>IFERROR(E12*F12,"")</f>
        <v/>
      </c>
      <c r="I12" s="61"/>
    </row>
    <row r="13" spans="1:52">
      <c r="B13" s="17"/>
      <c r="C13" s="85" t="str">
        <f t="shared" si="0"/>
        <v/>
      </c>
      <c r="D13" s="86"/>
      <c r="E13" s="40" t="str">
        <f t="shared" si="1"/>
        <v/>
      </c>
      <c r="F13" s="41"/>
      <c r="G13" s="16" t="str">
        <f t="shared" si="2"/>
        <v/>
      </c>
      <c r="H13" s="92" t="str">
        <f t="shared" ref="H13:H30" si="3">IFERROR(E13*F13,"")</f>
        <v/>
      </c>
      <c r="I13" s="61"/>
    </row>
    <row r="14" spans="1:52">
      <c r="B14" s="17"/>
      <c r="C14" s="85" t="str">
        <f t="shared" si="0"/>
        <v/>
      </c>
      <c r="D14" s="86"/>
      <c r="E14" s="40" t="str">
        <f t="shared" si="1"/>
        <v/>
      </c>
      <c r="F14" s="42"/>
      <c r="G14" s="16" t="str">
        <f t="shared" si="2"/>
        <v/>
      </c>
      <c r="H14" s="92" t="str">
        <f t="shared" si="3"/>
        <v/>
      </c>
      <c r="I14" s="61"/>
    </row>
    <row r="15" spans="1:52">
      <c r="B15" s="17"/>
      <c r="C15" s="85" t="str">
        <f t="shared" si="0"/>
        <v/>
      </c>
      <c r="D15" s="86"/>
      <c r="E15" s="40" t="str">
        <f t="shared" si="1"/>
        <v/>
      </c>
      <c r="F15" s="42"/>
      <c r="G15" s="16" t="str">
        <f t="shared" si="2"/>
        <v/>
      </c>
      <c r="H15" s="92" t="str">
        <f t="shared" si="3"/>
        <v/>
      </c>
      <c r="I15" s="61"/>
    </row>
    <row r="16" spans="1:52">
      <c r="B16" s="17"/>
      <c r="C16" s="85" t="str">
        <f t="shared" si="0"/>
        <v/>
      </c>
      <c r="D16" s="86"/>
      <c r="E16" s="40" t="str">
        <f t="shared" si="1"/>
        <v/>
      </c>
      <c r="F16" s="42"/>
      <c r="G16" s="16" t="str">
        <f t="shared" si="2"/>
        <v/>
      </c>
      <c r="H16" s="92" t="str">
        <f t="shared" si="3"/>
        <v/>
      </c>
      <c r="I16" s="61"/>
    </row>
    <row r="17" spans="2:12">
      <c r="B17" s="17"/>
      <c r="C17" s="85" t="str">
        <f t="shared" si="0"/>
        <v/>
      </c>
      <c r="D17" s="86"/>
      <c r="E17" s="40" t="str">
        <f t="shared" si="1"/>
        <v/>
      </c>
      <c r="F17" s="42"/>
      <c r="G17" s="16" t="str">
        <f t="shared" si="2"/>
        <v/>
      </c>
      <c r="H17" s="92" t="str">
        <f t="shared" si="3"/>
        <v/>
      </c>
      <c r="I17" s="61"/>
    </row>
    <row r="18" spans="2:12">
      <c r="B18" s="17"/>
      <c r="C18" s="85" t="str">
        <f t="shared" si="0"/>
        <v/>
      </c>
      <c r="D18" s="86"/>
      <c r="E18" s="40" t="str">
        <f t="shared" si="1"/>
        <v/>
      </c>
      <c r="F18" s="42"/>
      <c r="G18" s="16" t="str">
        <f t="shared" si="2"/>
        <v/>
      </c>
      <c r="H18" s="92" t="str">
        <f t="shared" si="3"/>
        <v/>
      </c>
      <c r="I18" s="61"/>
    </row>
    <row r="19" spans="2:12">
      <c r="B19" s="17"/>
      <c r="C19" s="85" t="str">
        <f t="shared" si="0"/>
        <v/>
      </c>
      <c r="D19" s="86"/>
      <c r="E19" s="40" t="str">
        <f t="shared" si="1"/>
        <v/>
      </c>
      <c r="F19" s="42"/>
      <c r="G19" s="16" t="str">
        <f t="shared" si="2"/>
        <v/>
      </c>
      <c r="H19" s="92" t="str">
        <f t="shared" si="3"/>
        <v/>
      </c>
      <c r="I19" s="61"/>
    </row>
    <row r="20" spans="2:12">
      <c r="B20" s="17"/>
      <c r="C20" s="85" t="str">
        <f t="shared" si="0"/>
        <v/>
      </c>
      <c r="D20" s="86"/>
      <c r="E20" s="40" t="str">
        <f t="shared" si="1"/>
        <v/>
      </c>
      <c r="F20" s="42"/>
      <c r="G20" s="16" t="str">
        <f t="shared" si="2"/>
        <v/>
      </c>
      <c r="H20" s="92" t="str">
        <f t="shared" si="3"/>
        <v/>
      </c>
      <c r="I20" s="61"/>
    </row>
    <row r="21" spans="2:12">
      <c r="B21" s="17"/>
      <c r="C21" s="85" t="str">
        <f t="shared" si="0"/>
        <v/>
      </c>
      <c r="D21" s="86"/>
      <c r="E21" s="40" t="str">
        <f t="shared" si="1"/>
        <v/>
      </c>
      <c r="F21" s="42"/>
      <c r="G21" s="16" t="str">
        <f t="shared" si="2"/>
        <v/>
      </c>
      <c r="H21" s="92" t="str">
        <f t="shared" si="3"/>
        <v/>
      </c>
      <c r="I21" s="61"/>
    </row>
    <row r="22" spans="2:12">
      <c r="B22" s="16"/>
      <c r="C22" s="85" t="str">
        <f t="shared" si="0"/>
        <v/>
      </c>
      <c r="D22" s="86"/>
      <c r="E22" s="40" t="str">
        <f t="shared" si="1"/>
        <v/>
      </c>
      <c r="F22" s="42"/>
      <c r="G22" s="16" t="str">
        <f t="shared" si="2"/>
        <v/>
      </c>
      <c r="H22" s="92" t="str">
        <f t="shared" si="3"/>
        <v/>
      </c>
      <c r="I22" s="61"/>
    </row>
    <row r="23" spans="2:12">
      <c r="B23" s="17"/>
      <c r="C23" s="85" t="str">
        <f t="shared" si="0"/>
        <v/>
      </c>
      <c r="D23" s="86"/>
      <c r="E23" s="40" t="str">
        <f t="shared" si="1"/>
        <v/>
      </c>
      <c r="F23" s="42"/>
      <c r="G23" s="16" t="str">
        <f t="shared" si="2"/>
        <v/>
      </c>
      <c r="H23" s="92" t="str">
        <f t="shared" si="3"/>
        <v/>
      </c>
      <c r="I23" s="61"/>
    </row>
    <row r="24" spans="2:12">
      <c r="B24" s="17"/>
      <c r="C24" s="85" t="str">
        <f t="shared" si="0"/>
        <v/>
      </c>
      <c r="D24" s="86"/>
      <c r="E24" s="40" t="str">
        <f t="shared" si="1"/>
        <v/>
      </c>
      <c r="F24" s="42"/>
      <c r="G24" s="16" t="str">
        <f t="shared" si="2"/>
        <v/>
      </c>
      <c r="H24" s="92" t="str">
        <f t="shared" si="3"/>
        <v/>
      </c>
      <c r="I24" s="61"/>
    </row>
    <row r="25" spans="2:12">
      <c r="B25" s="17"/>
      <c r="C25" s="85" t="str">
        <f t="shared" si="0"/>
        <v/>
      </c>
      <c r="D25" s="86"/>
      <c r="E25" s="40" t="str">
        <f t="shared" si="1"/>
        <v/>
      </c>
      <c r="F25" s="42"/>
      <c r="G25" s="16" t="str">
        <f t="shared" si="2"/>
        <v/>
      </c>
      <c r="H25" s="92" t="str">
        <f t="shared" si="3"/>
        <v/>
      </c>
      <c r="I25" s="61"/>
    </row>
    <row r="26" spans="2:12">
      <c r="B26" s="17"/>
      <c r="C26" s="85" t="str">
        <f t="shared" si="0"/>
        <v/>
      </c>
      <c r="D26" s="86"/>
      <c r="E26" s="40" t="str">
        <f t="shared" si="1"/>
        <v/>
      </c>
      <c r="F26" s="42"/>
      <c r="G26" s="16" t="str">
        <f t="shared" si="2"/>
        <v/>
      </c>
      <c r="H26" s="92" t="str">
        <f t="shared" si="3"/>
        <v/>
      </c>
      <c r="I26" s="61"/>
    </row>
    <row r="27" spans="2:12">
      <c r="B27" s="17"/>
      <c r="C27" s="85" t="str">
        <f t="shared" si="0"/>
        <v/>
      </c>
      <c r="D27" s="86"/>
      <c r="E27" s="40" t="str">
        <f t="shared" si="1"/>
        <v/>
      </c>
      <c r="F27" s="42"/>
      <c r="G27" s="16" t="str">
        <f t="shared" si="2"/>
        <v/>
      </c>
      <c r="H27" s="92" t="str">
        <f t="shared" si="3"/>
        <v/>
      </c>
      <c r="I27" s="61"/>
    </row>
    <row r="28" spans="2:12">
      <c r="B28" s="17"/>
      <c r="C28" s="85" t="str">
        <f t="shared" si="0"/>
        <v/>
      </c>
      <c r="D28" s="86"/>
      <c r="E28" s="40" t="str">
        <f t="shared" si="1"/>
        <v/>
      </c>
      <c r="F28" s="42"/>
      <c r="G28" s="16" t="str">
        <f t="shared" si="2"/>
        <v/>
      </c>
      <c r="H28" s="92" t="str">
        <f t="shared" si="3"/>
        <v/>
      </c>
      <c r="I28" s="61"/>
      <c r="J28" s="43"/>
      <c r="K28" s="43"/>
      <c r="L28" s="43"/>
    </row>
    <row r="29" spans="2:12">
      <c r="B29" s="16"/>
      <c r="C29" s="85" t="str">
        <f t="shared" si="0"/>
        <v/>
      </c>
      <c r="D29" s="86"/>
      <c r="E29" s="40" t="str">
        <f t="shared" si="1"/>
        <v/>
      </c>
      <c r="F29" s="42"/>
      <c r="G29" s="16" t="str">
        <f t="shared" si="2"/>
        <v/>
      </c>
      <c r="H29" s="92" t="str">
        <f t="shared" si="3"/>
        <v/>
      </c>
      <c r="I29" s="61"/>
      <c r="J29" s="43"/>
      <c r="K29" s="43"/>
      <c r="L29" s="43"/>
    </row>
    <row r="30" spans="2:12">
      <c r="B30" s="17"/>
      <c r="C30" s="85" t="str">
        <f t="shared" si="0"/>
        <v/>
      </c>
      <c r="D30" s="86"/>
      <c r="E30" s="40" t="str">
        <f t="shared" si="1"/>
        <v/>
      </c>
      <c r="F30" s="42"/>
      <c r="G30" s="16" t="str">
        <f t="shared" si="2"/>
        <v/>
      </c>
      <c r="H30" s="92" t="str">
        <f t="shared" si="3"/>
        <v/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81" t="s">
        <v>30</v>
      </c>
      <c r="G32" s="82"/>
      <c r="H32" s="45">
        <f>SUM(H12:H30)</f>
        <v>0</v>
      </c>
      <c r="I32" s="44"/>
      <c r="K32" s="43"/>
      <c r="L32" s="43"/>
    </row>
    <row r="33" spans="4:12">
      <c r="F33" s="81" t="s">
        <v>31</v>
      </c>
      <c r="G33" s="82"/>
      <c r="H33" s="45">
        <f>H32*0.1</f>
        <v>0</v>
      </c>
      <c r="I33" s="44"/>
      <c r="J33" s="43"/>
      <c r="K33" s="43"/>
      <c r="L33" s="43"/>
    </row>
    <row r="34" spans="4:12">
      <c r="F34" s="83" t="s">
        <v>32</v>
      </c>
      <c r="G34" s="83"/>
      <c r="H34" s="46">
        <f>IF(K35=TRUE,0,VLOOKUP(H32,배송요금,3,1))</f>
        <v>0</v>
      </c>
      <c r="I34" s="62"/>
      <c r="J34" s="47" t="s">
        <v>33</v>
      </c>
      <c r="K34" s="43"/>
      <c r="L34" s="43"/>
    </row>
    <row r="35" spans="4:12">
      <c r="F35" s="81" t="s">
        <v>34</v>
      </c>
      <c r="G35" s="82"/>
      <c r="H35" s="45">
        <f>SUM(H32:H34)</f>
        <v>0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84">
        <f ca="1">B6+10</f>
        <v>45751</v>
      </c>
      <c r="G39" s="84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2025-03-25T03:00:42Z</dcterms:modified>
  <cp:category/>
  <cp:contentStatus/>
</cp:coreProperties>
</file>