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-96" yWindow="-216" windowWidth="18960" windowHeight="11208"/>
  </bookViews>
  <sheets>
    <sheet name="월간일정표" sheetId="11" r:id="rId1"/>
  </sheets>
  <calcPr calcId="162913"/>
</workbook>
</file>

<file path=xl/calcChain.xml><?xml version="1.0" encoding="utf-8"?>
<calcChain xmlns="http://schemas.openxmlformats.org/spreadsheetml/2006/main">
  <c r="O7" i="11" l="1"/>
  <c r="O19" i="11" l="1"/>
  <c r="O18" i="11"/>
  <c r="O17" i="11"/>
  <c r="O16" i="11"/>
  <c r="O15" i="11"/>
  <c r="O14" i="11"/>
  <c r="O13" i="11"/>
  <c r="O12" i="11"/>
  <c r="O11" i="11"/>
  <c r="O10" i="11"/>
  <c r="O9" i="11"/>
  <c r="O8" i="11"/>
  <c r="J6" i="11"/>
  <c r="J5" i="11"/>
</calcChain>
</file>

<file path=xl/sharedStrings.xml><?xml version="1.0" encoding="utf-8"?>
<sst xmlns="http://schemas.openxmlformats.org/spreadsheetml/2006/main" count="25" uniqueCount="24">
  <si>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</si>
  <si>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</si>
  <si>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</si>
  <si>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</si>
  <si>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</si>
  <si>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</si>
  <si>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</si>
  <si>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5" type="noConversion"/>
  </si>
  <si>
    <t>식목일</t>
    <phoneticPr fontId="5" type="noConversion"/>
  </si>
  <si>
    <t>어린이날</t>
    <phoneticPr fontId="5" type="noConversion"/>
  </si>
  <si>
    <t>스승의 날</t>
    <phoneticPr fontId="5" type="noConversion"/>
  </si>
  <si>
    <t>현충일</t>
    <phoneticPr fontId="5" type="noConversion"/>
  </si>
  <si>
    <t>제헌절</t>
    <phoneticPr fontId="5" type="noConversion"/>
  </si>
  <si>
    <t>광복절</t>
    <phoneticPr fontId="5" type="noConversion"/>
  </si>
  <si>
    <t>국군의 날</t>
    <phoneticPr fontId="5" type="noConversion"/>
  </si>
  <si>
    <t>Saturday</t>
    <phoneticPr fontId="1" type="noConversion"/>
  </si>
  <si>
    <t>Sunday</t>
    <phoneticPr fontId="1" type="noConversion"/>
  </si>
  <si>
    <t>신정</t>
    <phoneticPr fontId="5" type="noConversion"/>
  </si>
  <si>
    <t>추석</t>
    <phoneticPr fontId="1" type="noConversion"/>
  </si>
  <si>
    <t>설날</t>
    <phoneticPr fontId="5" type="noConversion"/>
  </si>
  <si>
    <t>개천절</t>
    <phoneticPr fontId="5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</si>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</sst>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dd"/>
    <numFmt numFmtId="177" formatCode="mm&quot;월&quot;\ dd&quot;일&quot;"/>
    <numFmt numFmtId="178" formatCode="[$-F800]dddd\,\ mmmm\ dd\,\ yyyy"/>
    <numFmt numFmtId="179" formatCode="yyyy&quot;년&quot;\ m&quot;월&quot;\ d&quot;일&quot;;@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10"/>
      <color theme="1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177" fontId="4" fillId="4" borderId="6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C$3" max="2030" min="1900" page="10" val="2025"/>
</file>

<file path=xl/ctrlProps/ctrlProp2.xml><?xml version="1.0" encoding="utf-8"?>
<formControlPr xmlns="http://schemas.microsoft.com/office/spreadsheetml/2009/9/main" objectType="Drop" dropStyle="combo" dx="20" fmlaLink="F3" fmlaRange="$M$3:$M$14" noThreeD="1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220980</xdr:rowOff>
        </xdr:from>
        <xdr:to>
          <xdr:col>4</xdr:col>
          <xdr:colOff>0</xdr:colOff>
          <xdr:row>3</xdr:row>
          <xdr:rowOff>7620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</xdr:row>
          <xdr:rowOff>0</xdr:rowOff>
        </xdr:from>
        <xdr:to>
          <xdr:col>6</xdr:col>
          <xdr:colOff>0</xdr:colOff>
          <xdr:row>3</xdr:row>
          <xdr:rowOff>15240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zoomScaleNormal="100" workbookViewId="0">
      <selection activeCell="O4" sqref="O4"/>
    </sheetView>
  </sheetViews>
  <sheetFormatPr defaultRowHeight="17.399999999999999"/>
  <cols>
    <col min="1" max="1" width="5" customWidth="1"/>
    <col min="2" max="8" width="11.8984375" customWidth="1"/>
    <col min="9" max="9" width="7.3984375" hidden="1" customWidth="1"/>
    <col min="10" max="10" width="11.09765625" hidden="1" customWidth="1"/>
    <col min="11" max="12" width="0" hidden="1" customWidth="1"/>
    <col min="15" max="15" width="10.59765625" bestFit="1" customWidth="1"/>
    <col min="16" max="16" width="10.59765625" customWidth="1"/>
  </cols>
  <sheetData>
    <row r="1" spans="2:16" ht="18" customHeight="1"/>
    <row r="2" spans="2:16" ht="18" customHeight="1">
      <c r="M2" s="10" t="s">
        <v>6</v>
      </c>
      <c r="N2" s="10"/>
    </row>
    <row r="3" spans="2:16" ht="18" customHeight="1">
      <c r="B3" s="14" t="s">
        <v>5</v>
      </c>
      <c r="C3" s="15">
        <v>2025</v>
      </c>
      <c r="D3" s="16"/>
      <c r="E3" s="14" t="s">
        <v>6</v>
      </c>
      <c r="F3" s="14">
        <v>1</v>
      </c>
      <c r="G3" s="16"/>
      <c r="H3" s="16"/>
      <c r="M3">
        <v>1</v>
      </c>
    </row>
    <row r="4" spans="2:16" ht="18" customHeight="1">
      <c r="F4" s="17"/>
      <c r="G4" s="19"/>
      <c r="H4" s="18"/>
      <c r="M4">
        <v>2</v>
      </c>
    </row>
    <row r="5" spans="2:16" ht="35.25" customHeight="1">
      <c r="C5" s="1"/>
      <c r="D5" s="11"/>
      <c r="E5" s="13" t="s">
        <v>21</v>
      </c>
      <c r="F5" s="12"/>
      <c r="G5" s="30" t="s">
        <v>22</v>
      </c>
      <c r="H5" s="30"/>
      <c r="J5" s="2">
        <f>DATE(C3,F3,1)</f>
        <v>45658</v>
      </c>
      <c r="M5">
        <v>3</v>
      </c>
    </row>
    <row r="6" spans="2:16" ht="18" customHeight="1" thickBot="1">
      <c r="J6">
        <f>(WEEKDAY(DATE(C3,F3,1),2))</f>
        <v>3</v>
      </c>
      <c r="M6">
        <v>4</v>
      </c>
    </row>
    <row r="7" spans="2:16" ht="18" customHeight="1" thickBot="1">
      <c r="B7" s="8" t="s">
        <v>16</v>
      </c>
      <c r="C7" s="9" t="s">
        <v>0</v>
      </c>
      <c r="D7" s="9" t="s">
        <v>1</v>
      </c>
      <c r="E7" s="9" t="s">
        <v>2</v>
      </c>
      <c r="F7" s="9" t="s">
        <v>3</v>
      </c>
      <c r="G7" s="9" t="s">
        <v>4</v>
      </c>
      <c r="H7" s="7" t="s">
        <v>15</v>
      </c>
      <c r="M7">
        <v>5</v>
      </c>
      <c r="O7" s="5">
        <f>DATE($D$5,1,1)</f>
        <v>1</v>
      </c>
      <c r="P7" s="6" t="s">
        <v>17</v>
      </c>
    </row>
    <row r="8" spans="2:16" ht="18" customHeight="1" thickBot="1">
      <c r="B8" s="3"/>
      <c r="C8" s="3"/>
      <c r="D8" s="3"/>
      <c r="E8" s="3"/>
      <c r="F8" s="3"/>
      <c r="G8" s="3"/>
      <c r="H8" s="3"/>
      <c r="M8">
        <v>6</v>
      </c>
      <c r="O8" s="5">
        <f>DATE($D$5,2,19)</f>
        <v>50</v>
      </c>
      <c r="P8" s="6" t="s">
        <v>19</v>
      </c>
    </row>
    <row r="9" spans="2:16" ht="18" customHeight="1">
      <c r="B9" s="22"/>
      <c r="C9" s="22"/>
      <c r="D9" s="22"/>
      <c r="E9" s="22"/>
      <c r="F9" s="25"/>
      <c r="G9" s="25"/>
      <c r="H9" s="22"/>
      <c r="M9">
        <v>7</v>
      </c>
      <c r="O9" s="5">
        <f>DATE($D$5,3,1)</f>
        <v>61</v>
      </c>
      <c r="P9" s="6" t="s">
        <v>7</v>
      </c>
    </row>
    <row r="10" spans="2:16" ht="18" customHeight="1">
      <c r="B10" s="23"/>
      <c r="C10" s="23"/>
      <c r="D10" s="23"/>
      <c r="E10" s="23"/>
      <c r="F10" s="26"/>
      <c r="G10" s="26"/>
      <c r="H10" s="23"/>
      <c r="M10">
        <v>8</v>
      </c>
      <c r="O10" s="5">
        <f>DATE($D$5,4,5)</f>
        <v>96</v>
      </c>
      <c r="P10" s="6" t="s">
        <v>8</v>
      </c>
    </row>
    <row r="11" spans="2:16" ht="18" customHeight="1" thickBot="1">
      <c r="B11" s="24"/>
      <c r="C11" s="24"/>
      <c r="D11" s="24"/>
      <c r="E11" s="24"/>
      <c r="F11" s="27"/>
      <c r="G11" s="27"/>
      <c r="H11" s="24"/>
      <c r="M11">
        <v>9</v>
      </c>
      <c r="O11" s="5">
        <f>DATE($D$5,5,5)</f>
        <v>126</v>
      </c>
      <c r="P11" s="6" t="s">
        <v>9</v>
      </c>
    </row>
    <row r="12" spans="2:16" ht="18" customHeight="1" thickBot="1">
      <c r="B12" s="4"/>
      <c r="C12" s="4"/>
      <c r="D12" s="4"/>
      <c r="E12" s="4"/>
      <c r="F12" s="4"/>
      <c r="G12" s="4"/>
      <c r="H12" s="4"/>
      <c r="M12">
        <v>10</v>
      </c>
      <c r="O12" s="5">
        <f>DATE($D$5,5,15)</f>
        <v>136</v>
      </c>
      <c r="P12" s="6" t="s">
        <v>10</v>
      </c>
    </row>
    <row r="13" spans="2:16" ht="18" customHeight="1">
      <c r="B13" s="22"/>
      <c r="C13" s="22"/>
      <c r="D13" s="22"/>
      <c r="E13" s="22"/>
      <c r="F13" s="25"/>
      <c r="G13" s="22"/>
      <c r="H13" s="22"/>
      <c r="M13">
        <v>11</v>
      </c>
      <c r="O13" s="5">
        <f>DATE($D$5,6,6)</f>
        <v>158</v>
      </c>
      <c r="P13" s="6" t="s">
        <v>11</v>
      </c>
    </row>
    <row r="14" spans="2:16" ht="18" customHeight="1">
      <c r="B14" s="23"/>
      <c r="C14" s="23"/>
      <c r="D14" s="23"/>
      <c r="E14" s="23"/>
      <c r="F14" s="26"/>
      <c r="G14" s="23"/>
      <c r="H14" s="23"/>
      <c r="M14">
        <v>12</v>
      </c>
      <c r="O14" s="5">
        <f>DATE($D$5,7,17)</f>
        <v>199</v>
      </c>
      <c r="P14" s="6" t="s">
        <v>12</v>
      </c>
    </row>
    <row r="15" spans="2:16" ht="18" customHeight="1" thickBot="1">
      <c r="B15" s="24"/>
      <c r="C15" s="24"/>
      <c r="D15" s="24"/>
      <c r="E15" s="24"/>
      <c r="F15" s="27"/>
      <c r="G15" s="24"/>
      <c r="H15" s="24"/>
      <c r="O15" s="5">
        <f>DATE($D$5,8,15)</f>
        <v>228</v>
      </c>
      <c r="P15" s="6" t="s">
        <v>13</v>
      </c>
    </row>
    <row r="16" spans="2:16" ht="18" customHeight="1" thickBot="1">
      <c r="B16" s="4"/>
      <c r="C16" s="4"/>
      <c r="D16" s="4"/>
      <c r="E16" s="4"/>
      <c r="F16" s="4"/>
      <c r="G16" s="4"/>
      <c r="H16" s="4"/>
      <c r="O16" s="5">
        <f>DATE($D$5,9,27)</f>
        <v>271</v>
      </c>
      <c r="P16" s="6" t="s">
        <v>18</v>
      </c>
    </row>
    <row r="17" spans="2:16" ht="18" customHeight="1">
      <c r="B17" s="22"/>
      <c r="C17" s="25"/>
      <c r="D17" s="22"/>
      <c r="E17" s="22"/>
      <c r="F17" s="22"/>
      <c r="G17" s="22"/>
      <c r="H17" s="22"/>
      <c r="O17" s="5">
        <f>DATE($D$5,10,1)</f>
        <v>275</v>
      </c>
      <c r="P17" s="6" t="s">
        <v>14</v>
      </c>
    </row>
    <row r="18" spans="2:16" ht="18" customHeight="1">
      <c r="B18" s="23"/>
      <c r="C18" s="26"/>
      <c r="D18" s="23"/>
      <c r="E18" s="23"/>
      <c r="F18" s="23"/>
      <c r="G18" s="23"/>
      <c r="H18" s="23"/>
      <c r="O18" s="5">
        <f>DATE($D$5,10,3)</f>
        <v>277</v>
      </c>
      <c r="P18" s="6" t="s">
        <v>20</v>
      </c>
    </row>
    <row r="19" spans="2:16" ht="18" customHeight="1" thickBot="1">
      <c r="B19" s="23"/>
      <c r="C19" s="26"/>
      <c r="D19" s="23"/>
      <c r="E19" s="23"/>
      <c r="F19" s="23"/>
      <c r="G19" s="23"/>
      <c r="H19" s="23"/>
      <c r="O19" s="5">
        <f>DATE($D$5,12,25)</f>
        <v>360</v>
      </c>
      <c r="P19" s="6" t="s">
        <v>23</v>
      </c>
    </row>
    <row r="20" spans="2:16" ht="18" customHeight="1" thickBot="1">
      <c r="B20" s="4"/>
      <c r="C20" s="4"/>
      <c r="D20" s="4"/>
      <c r="E20" s="4"/>
      <c r="F20" s="4"/>
      <c r="G20" s="4"/>
      <c r="H20" s="4"/>
    </row>
    <row r="21" spans="2:16" ht="18" customHeight="1">
      <c r="B21" s="22"/>
      <c r="C21" s="28"/>
      <c r="D21" s="25"/>
      <c r="E21" s="25"/>
      <c r="F21" s="25"/>
      <c r="G21" s="25"/>
      <c r="H21" s="20"/>
    </row>
    <row r="22" spans="2:16" ht="18" customHeight="1">
      <c r="B22" s="23"/>
      <c r="C22" s="29"/>
      <c r="D22" s="26"/>
      <c r="E22" s="26"/>
      <c r="F22" s="26"/>
      <c r="G22" s="26"/>
      <c r="H22" s="21"/>
    </row>
    <row r="23" spans="2:16" ht="18" customHeight="1" thickBot="1">
      <c r="B23" s="23"/>
      <c r="C23" s="29"/>
      <c r="D23" s="26"/>
      <c r="E23" s="26"/>
      <c r="F23" s="26"/>
      <c r="G23" s="26"/>
      <c r="H23" s="21"/>
    </row>
    <row r="24" spans="2:16" ht="18" customHeight="1" thickBot="1">
      <c r="B24" s="4"/>
      <c r="C24" s="4"/>
      <c r="D24" s="4"/>
      <c r="E24" s="4"/>
      <c r="F24" s="4"/>
      <c r="G24" s="4"/>
      <c r="H24" s="4"/>
    </row>
    <row r="25" spans="2:16" ht="18" customHeight="1">
      <c r="B25" s="22"/>
      <c r="C25" s="22"/>
      <c r="D25" s="22"/>
      <c r="E25" s="22"/>
      <c r="F25" s="25"/>
      <c r="G25" s="22"/>
      <c r="H25" s="22"/>
    </row>
    <row r="26" spans="2:16" ht="18" customHeight="1">
      <c r="B26" s="23"/>
      <c r="C26" s="23"/>
      <c r="D26" s="23"/>
      <c r="E26" s="23"/>
      <c r="F26" s="26"/>
      <c r="G26" s="23"/>
      <c r="H26" s="23"/>
    </row>
    <row r="27" spans="2:16" ht="18" customHeight="1" thickBot="1">
      <c r="B27" s="24"/>
      <c r="C27" s="24"/>
      <c r="D27" s="24"/>
      <c r="E27" s="24"/>
      <c r="F27" s="27"/>
      <c r="G27" s="24"/>
      <c r="H27" s="24"/>
    </row>
  </sheetData>
  <mergeCells count="36">
    <mergeCell ref="G5:H5"/>
    <mergeCell ref="B9:B11"/>
    <mergeCell ref="C9:C11"/>
    <mergeCell ref="D9:D11"/>
    <mergeCell ref="E9:E11"/>
    <mergeCell ref="F9:F11"/>
    <mergeCell ref="G9:G11"/>
    <mergeCell ref="H9:H11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</mergeCells>
  <phoneticPr fontId="5" type="noConversion"/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3</xdr:col>
                    <xdr:colOff>0</xdr:colOff>
                    <xdr:row>1</xdr:row>
                    <xdr:rowOff>220980</xdr:rowOff>
                  </from>
                  <to>
                    <xdr:col>4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5</xdr:col>
                    <xdr:colOff>38100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2025-03-07T02:28:48Z</dcterms:modified>
</cp:coreProperties>
</file>