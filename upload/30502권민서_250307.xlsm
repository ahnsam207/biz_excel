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-96" yWindow="-216" windowWidth="18960" windowHeight="11208"/>
  </bookViews>
  <sheets>
    <sheet name="월간일정표" sheetId="11" r:id="rId1"/>
  </sheets>
  <calcPr calcId="162913"/>
</workbook>
</file>

<file path=xl/calcChain.xml><?xml version="1.0" encoding="utf-8"?>
<calcChain xmlns="http://schemas.openxmlformats.org/spreadsheetml/2006/main">
  <c r="G4" i="11" l="1"/>
  <c r="H4" i="11" s="1"/>
  <c r="F5" i="11"/>
  <c r="B8" i="11" s="1"/>
  <c r="D5" i="11"/>
  <c r="C8" i="11" l="1"/>
  <c r="D8" i="11" s="1"/>
  <c r="E8" i="11" s="1"/>
  <c r="F8" i="11" s="1"/>
  <c r="G8" i="11" s="1"/>
  <c r="H8" i="11" s="1"/>
  <c r="B12" i="11" s="1"/>
  <c r="C12" i="11" s="1"/>
  <c r="D12" i="11" s="1"/>
  <c r="E12" i="11" s="1"/>
  <c r="F12" i="11" s="1"/>
  <c r="G12" i="11" s="1"/>
  <c r="H12" i="11" s="1"/>
  <c r="B16" i="11" s="1"/>
  <c r="C16" i="11" s="1"/>
  <c r="D16" i="11" s="1"/>
  <c r="E16" i="11" s="1"/>
  <c r="F16" i="11" s="1"/>
  <c r="G16" i="11" s="1"/>
  <c r="H16" i="11" s="1"/>
  <c r="B20" i="11" s="1"/>
  <c r="C20" i="11" s="1"/>
  <c r="D20" i="11" s="1"/>
  <c r="E20" i="11" s="1"/>
  <c r="F20" i="11" s="1"/>
  <c r="G20" i="11" s="1"/>
  <c r="H20" i="11" s="1"/>
  <c r="B24" i="11" s="1"/>
  <c r="C24" i="11" s="1"/>
  <c r="D24" i="11" s="1"/>
  <c r="E24" i="11" s="1"/>
  <c r="F24" i="11" s="1"/>
  <c r="G24" i="11" s="1"/>
  <c r="H24" i="11" s="1"/>
  <c r="O7" i="11"/>
  <c r="O19" i="11"/>
  <c r="O18" i="11"/>
  <c r="O17" i="11"/>
  <c r="O16" i="11"/>
  <c r="O15" i="11"/>
  <c r="O14" i="11"/>
  <c r="O13" i="11"/>
  <c r="O12" i="11"/>
  <c r="O11" i="11"/>
  <c r="O10" i="11"/>
  <c r="O9" i="11"/>
  <c r="O8" i="11"/>
  <c r="J6" i="11"/>
  <c r="J5" i="11"/>
</calcChain>
</file>

<file path=xl/sharedStrings.xml><?xml version="1.0" encoding="utf-8"?>
<sst xmlns="http://schemas.openxmlformats.org/spreadsheetml/2006/main" count="32" uniqueCount="31">
  <si>
    <t>Monday</t>
  </si>
  <si>
    <t>Tuesday</t>
  </si>
  <si>
    <t>Wednesday</t>
  </si>
  <si>
    <t>Thursday</t>
  </si>
  <si>
    <t>Friday</t>
  </si>
  <si>
    <t>년도</t>
    <phoneticPr fontId="1" type="noConversion"/>
  </si>
  <si>
    <t>월</t>
    <phoneticPr fontId="1" type="noConversion"/>
  </si>
  <si>
    <t>삼일절</t>
    <phoneticPr fontId="5" type="noConversion"/>
  </si>
  <si>
    <t>식목일</t>
    <phoneticPr fontId="5" type="noConversion"/>
  </si>
  <si>
    <t>어린이날</t>
    <phoneticPr fontId="5" type="noConversion"/>
  </si>
  <si>
    <t>스승의 날</t>
    <phoneticPr fontId="5" type="noConversion"/>
  </si>
  <si>
    <t>현충일</t>
    <phoneticPr fontId="5" type="noConversion"/>
  </si>
  <si>
    <t>제헌절</t>
    <phoneticPr fontId="5" type="noConversion"/>
  </si>
  <si>
    <t>광복절</t>
    <phoneticPr fontId="5" type="noConversion"/>
  </si>
  <si>
    <t>국군의 날</t>
    <phoneticPr fontId="5" type="noConversion"/>
  </si>
  <si>
    <t>Saturday</t>
    <phoneticPr fontId="1" type="noConversion"/>
  </si>
  <si>
    <t>Sunday</t>
    <phoneticPr fontId="1" type="noConversion"/>
  </si>
  <si>
    <t>신정</t>
    <phoneticPr fontId="5" type="noConversion"/>
  </si>
  <si>
    <t>추석</t>
    <phoneticPr fontId="1" type="noConversion"/>
  </si>
  <si>
    <t>설날</t>
    <phoneticPr fontId="5" type="noConversion"/>
  </si>
  <si>
    <t>개천절</t>
    <phoneticPr fontId="5" type="noConversion"/>
  </si>
  <si>
    <t xml:space="preserve">년도 </t>
    <phoneticPr fontId="1" type="noConversion"/>
  </si>
  <si>
    <t>월 일정표</t>
    <phoneticPr fontId="1" type="noConversion"/>
  </si>
  <si>
    <t>크리스마스</t>
    <phoneticPr fontId="5" type="noConversion"/>
  </si>
  <si>
    <t>10:00 프로젝트 
회의</t>
    <phoneticPr fontId="5" type="noConversion"/>
  </si>
  <si>
    <t>프로젝트 세부 
회의</t>
    <phoneticPr fontId="5" type="noConversion"/>
  </si>
  <si>
    <t>12:00 원인터 
방문 미팅</t>
    <phoneticPr fontId="5" type="noConversion"/>
  </si>
  <si>
    <t>13:00 팀장님과
프로젝트 협의</t>
    <phoneticPr fontId="5" type="noConversion"/>
  </si>
  <si>
    <t>10:00 신상품
프로모션 기획
발표</t>
    <phoneticPr fontId="5" type="noConversion"/>
  </si>
  <si>
    <t>16:00 프로젝트 
완료 보고회</t>
    <phoneticPr fontId="5" type="noConversion"/>
  </si>
  <si>
    <t>18:00 프로젝트
보고서 마감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</si>
</sst>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dd"/>
    <numFmt numFmtId="177" formatCode="mm&quot;월&quot;\ dd&quot;일&quot;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40"/>
      <name val="돋움"/>
      <family val="3"/>
      <charset val="129"/>
    </font>
    <font>
      <sz val="8"/>
      <name val="돋움"/>
      <family val="3"/>
      <charset val="129"/>
    </font>
    <font>
      <b/>
      <sz val="11"/>
      <color rgb="FF0070C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24"/>
      <color theme="1"/>
      <name val="Showcard Gothic"/>
      <family val="5"/>
    </font>
    <font>
      <sz val="24"/>
      <color theme="1"/>
      <name val="양재백두체B"/>
      <family val="1"/>
      <charset val="129"/>
    </font>
    <font>
      <sz val="10"/>
      <color theme="1"/>
      <name val="맑은 고딕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2" fillId="0" borderId="0" xfId="0" applyFont="1">
      <alignment vertical="center"/>
    </xf>
    <xf numFmtId="14" fontId="0" fillId="0" borderId="0" xfId="0" applyNumberFormat="1">
      <alignment vertical="center"/>
    </xf>
    <xf numFmtId="176" fontId="0" fillId="0" borderId="4" xfId="0" applyNumberFormat="1" applyBorder="1" applyAlignment="1">
      <alignment horizontal="left" vertical="center"/>
    </xf>
    <xf numFmtId="176" fontId="0" fillId="0" borderId="3" xfId="0" applyNumberFormat="1" applyBorder="1" applyAlignment="1">
      <alignment horizontal="left" vertical="center"/>
    </xf>
    <xf numFmtId="177" fontId="4" fillId="4" borderId="6" xfId="0" applyNumberFormat="1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>
      <alignment vertical="center"/>
    </xf>
    <xf numFmtId="14" fontId="0" fillId="0" borderId="0" xfId="0" applyNumberFormat="1" applyAlignment="1">
      <alignment vertical="center"/>
    </xf>
    <xf numFmtId="14" fontId="0" fillId="0" borderId="0" xfId="0" applyNumberFormat="1" applyAlignment="1">
      <alignment horizontal="right" vertical="center"/>
    </xf>
    <xf numFmtId="14" fontId="9" fillId="0" borderId="0" xfId="0" applyNumberFormat="1" applyFon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0" fillId="0" borderId="8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</cellXfs>
  <cellStyles count="1">
    <cellStyle name="표준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6" fmlaLink="$C$3" max="2030" min="1900" page="10" val="2025"/>
</file>

<file path=xl/ctrlProps/ctrlProp2.xml><?xml version="1.0" encoding="utf-8"?>
<formControlPr xmlns="http://schemas.microsoft.com/office/spreadsheetml/2009/9/main" objectType="Drop" dropStyle="combo" dx="20" fmlaLink="F3" fmlaRange="$M$3:$M$14" noThreeD="1" sel="3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5</xdr:col>
          <xdr:colOff>906780</xdr:colOff>
          <xdr:row>3</xdr:row>
          <xdr:rowOff>15240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P27"/>
  <sheetViews>
    <sheetView tabSelected="1" zoomScale="115" zoomScaleNormal="115" workbookViewId="0">
      <selection activeCell="G21" sqref="G21:G23"/>
    </sheetView>
  </sheetViews>
  <sheetFormatPr defaultRowHeight="17.399999999999999"/>
  <cols>
    <col min="1" max="1" width="5" customWidth="1"/>
    <col min="2" max="2" width="13" customWidth="1"/>
    <col min="3" max="3" width="12.69921875" customWidth="1"/>
    <col min="4" max="4" width="13.296875" customWidth="1"/>
    <col min="5" max="5" width="14.3984375" customWidth="1"/>
    <col min="6" max="6" width="14.59765625" customWidth="1"/>
    <col min="7" max="7" width="15.59765625" bestFit="1" customWidth="1"/>
    <col min="8" max="8" width="11.8984375" customWidth="1"/>
    <col min="9" max="9" width="7.3984375" hidden="1" customWidth="1"/>
    <col min="10" max="10" width="11.09765625" hidden="1" customWidth="1"/>
    <col min="11" max="12" width="0" hidden="1" customWidth="1"/>
    <col min="15" max="15" width="10.59765625" bestFit="1" customWidth="1"/>
    <col min="16" max="16" width="10.59765625" customWidth="1"/>
  </cols>
  <sheetData>
    <row r="1" spans="2:16" ht="18" customHeight="1"/>
    <row r="2" spans="2:16" ht="18" customHeight="1">
      <c r="M2" s="10" t="s">
        <v>6</v>
      </c>
      <c r="N2" s="10"/>
    </row>
    <row r="3" spans="2:16" ht="18" customHeight="1">
      <c r="B3" s="14" t="s">
        <v>5</v>
      </c>
      <c r="C3" s="15">
        <v>2025</v>
      </c>
      <c r="D3" s="16"/>
      <c r="E3" s="14" t="s">
        <v>6</v>
      </c>
      <c r="F3" s="14">
        <v>3</v>
      </c>
      <c r="G3" s="16"/>
      <c r="H3" s="16"/>
      <c r="M3">
        <v>1</v>
      </c>
    </row>
    <row r="4" spans="2:16" ht="18" customHeight="1">
      <c r="F4" s="2"/>
      <c r="G4" s="17">
        <f ca="1">TODAY()</f>
        <v>45729</v>
      </c>
      <c r="H4" s="18" t="str">
        <f ca="1">CHOOSE(WEEKDAY(G4,2),"월요일","화요일","수요일","목요일","금요일","토요일","일요일")</f>
        <v>목요일</v>
      </c>
      <c r="M4">
        <v>2</v>
      </c>
    </row>
    <row r="5" spans="2:16" ht="35.25" customHeight="1">
      <c r="C5" s="1"/>
      <c r="D5" s="11">
        <f>C3</f>
        <v>2025</v>
      </c>
      <c r="E5" s="13" t="s">
        <v>21</v>
      </c>
      <c r="F5" s="12">
        <f>F3</f>
        <v>3</v>
      </c>
      <c r="G5" s="19" t="s">
        <v>22</v>
      </c>
      <c r="H5" s="19"/>
      <c r="J5" s="2">
        <f>DATE(C3,F3,1)</f>
        <v>45717</v>
      </c>
      <c r="M5">
        <v>3</v>
      </c>
    </row>
    <row r="6" spans="2:16" ht="18" customHeight="1" thickBot="1">
      <c r="J6">
        <f>(WEEKDAY(DATE(C3,F3,1),2))</f>
        <v>6</v>
      </c>
      <c r="M6">
        <v>4</v>
      </c>
    </row>
    <row r="7" spans="2:16" ht="18" customHeight="1" thickBot="1">
      <c r="B7" s="8" t="s">
        <v>16</v>
      </c>
      <c r="C7" s="9" t="s">
        <v>0</v>
      </c>
      <c r="D7" s="9" t="s">
        <v>1</v>
      </c>
      <c r="E7" s="9" t="s">
        <v>2</v>
      </c>
      <c r="F7" s="9" t="s">
        <v>3</v>
      </c>
      <c r="G7" s="9" t="s">
        <v>4</v>
      </c>
      <c r="H7" s="7" t="s">
        <v>15</v>
      </c>
      <c r="M7">
        <v>5</v>
      </c>
      <c r="O7" s="5">
        <f>DATE($D$5,1,1)</f>
        <v>45658</v>
      </c>
      <c r="P7" s="6" t="s">
        <v>17</v>
      </c>
    </row>
    <row r="8" spans="2:16" ht="18" customHeight="1" thickBot="1">
      <c r="B8" s="3">
        <f>DATE(D5,F5,1)-WEEKDAY(DATE(D5,F5,1),2)</f>
        <v>45711</v>
      </c>
      <c r="C8" s="3">
        <f>B8+1</f>
        <v>45712</v>
      </c>
      <c r="D8" s="3">
        <f t="shared" ref="D8:H8" si="0">C8+1</f>
        <v>45713</v>
      </c>
      <c r="E8" s="3">
        <f t="shared" si="0"/>
        <v>45714</v>
      </c>
      <c r="F8" s="3">
        <f t="shared" si="0"/>
        <v>45715</v>
      </c>
      <c r="G8" s="3">
        <f t="shared" si="0"/>
        <v>45716</v>
      </c>
      <c r="H8" s="3">
        <f t="shared" si="0"/>
        <v>45717</v>
      </c>
      <c r="M8">
        <v>6</v>
      </c>
      <c r="O8" s="5">
        <f>DATE($D$5,2,19)</f>
        <v>45707</v>
      </c>
      <c r="P8" s="6" t="s">
        <v>19</v>
      </c>
    </row>
    <row r="9" spans="2:16" ht="18" customHeight="1">
      <c r="B9" s="20"/>
      <c r="C9" s="20"/>
      <c r="D9" s="20"/>
      <c r="E9" s="20"/>
      <c r="F9" s="23" t="s">
        <v>24</v>
      </c>
      <c r="G9" s="23" t="s">
        <v>25</v>
      </c>
      <c r="H9" s="20"/>
      <c r="M9">
        <v>7</v>
      </c>
      <c r="O9" s="5">
        <f>DATE($D$5,3,1)</f>
        <v>45717</v>
      </c>
      <c r="P9" s="6" t="s">
        <v>7</v>
      </c>
    </row>
    <row r="10" spans="2:16" ht="18" customHeight="1">
      <c r="B10" s="21"/>
      <c r="C10" s="21"/>
      <c r="D10" s="21"/>
      <c r="E10" s="21"/>
      <c r="F10" s="24"/>
      <c r="G10" s="24"/>
      <c r="H10" s="21"/>
      <c r="M10">
        <v>8</v>
      </c>
      <c r="O10" s="5">
        <f>DATE($D$5,4,5)</f>
        <v>45752</v>
      </c>
      <c r="P10" s="6" t="s">
        <v>8</v>
      </c>
    </row>
    <row r="11" spans="2:16" ht="18" customHeight="1" thickBot="1">
      <c r="B11" s="22"/>
      <c r="C11" s="22"/>
      <c r="D11" s="22"/>
      <c r="E11" s="22"/>
      <c r="F11" s="25"/>
      <c r="G11" s="25"/>
      <c r="H11" s="22"/>
      <c r="M11">
        <v>9</v>
      </c>
      <c r="O11" s="5">
        <f>DATE($D$5,5,5)</f>
        <v>45782</v>
      </c>
      <c r="P11" s="6" t="s">
        <v>9</v>
      </c>
    </row>
    <row r="12" spans="2:16" ht="18" customHeight="1" thickBot="1">
      <c r="B12" s="4">
        <f>H8+1</f>
        <v>45718</v>
      </c>
      <c r="C12" s="4">
        <f>B12+1</f>
        <v>45719</v>
      </c>
      <c r="D12" s="4">
        <f t="shared" ref="D12:H12" si="1">C12+1</f>
        <v>45720</v>
      </c>
      <c r="E12" s="4">
        <f t="shared" si="1"/>
        <v>45721</v>
      </c>
      <c r="F12" s="4">
        <f t="shared" si="1"/>
        <v>45722</v>
      </c>
      <c r="G12" s="4">
        <f t="shared" si="1"/>
        <v>45723</v>
      </c>
      <c r="H12" s="4">
        <f t="shared" si="1"/>
        <v>45724</v>
      </c>
      <c r="M12">
        <v>10</v>
      </c>
      <c r="O12" s="5">
        <f>DATE($D$5,5,15)</f>
        <v>45792</v>
      </c>
      <c r="P12" s="6" t="s">
        <v>10</v>
      </c>
    </row>
    <row r="13" spans="2:16" ht="18" customHeight="1">
      <c r="B13" s="20"/>
      <c r="C13" s="20"/>
      <c r="D13" s="20"/>
      <c r="E13" s="20"/>
      <c r="F13" s="23" t="s">
        <v>26</v>
      </c>
      <c r="G13" s="20"/>
      <c r="H13" s="20"/>
      <c r="M13">
        <v>11</v>
      </c>
      <c r="O13" s="5">
        <f>DATE($D$5,6,6)</f>
        <v>45814</v>
      </c>
      <c r="P13" s="6" t="s">
        <v>11</v>
      </c>
    </row>
    <row r="14" spans="2:16" ht="18" customHeight="1">
      <c r="B14" s="21"/>
      <c r="C14" s="21"/>
      <c r="D14" s="21"/>
      <c r="E14" s="21"/>
      <c r="F14" s="24"/>
      <c r="G14" s="21"/>
      <c r="H14" s="21"/>
      <c r="M14">
        <v>12</v>
      </c>
      <c r="O14" s="5">
        <f>DATE($D$5,7,17)</f>
        <v>45855</v>
      </c>
      <c r="P14" s="6" t="s">
        <v>12</v>
      </c>
    </row>
    <row r="15" spans="2:16" ht="18" customHeight="1" thickBot="1">
      <c r="B15" s="22"/>
      <c r="C15" s="22"/>
      <c r="D15" s="22"/>
      <c r="E15" s="22"/>
      <c r="F15" s="25"/>
      <c r="G15" s="22"/>
      <c r="H15" s="22"/>
      <c r="O15" s="5">
        <f>DATE($D$5,8,15)</f>
        <v>45884</v>
      </c>
      <c r="P15" s="6" t="s">
        <v>13</v>
      </c>
    </row>
    <row r="16" spans="2:16" ht="18" customHeight="1" thickBot="1">
      <c r="B16" s="4">
        <f>H12+1</f>
        <v>45725</v>
      </c>
      <c r="C16" s="4">
        <f>B16+1</f>
        <v>45726</v>
      </c>
      <c r="D16" s="4">
        <f t="shared" ref="D16:H16" si="2">C16+1</f>
        <v>45727</v>
      </c>
      <c r="E16" s="4">
        <f t="shared" si="2"/>
        <v>45728</v>
      </c>
      <c r="F16" s="4">
        <f t="shared" si="2"/>
        <v>45729</v>
      </c>
      <c r="G16" s="4">
        <f t="shared" si="2"/>
        <v>45730</v>
      </c>
      <c r="H16" s="4">
        <f t="shared" si="2"/>
        <v>45731</v>
      </c>
      <c r="O16" s="5">
        <f>DATE($D$5,9,27)</f>
        <v>45927</v>
      </c>
      <c r="P16" s="6" t="s">
        <v>18</v>
      </c>
    </row>
    <row r="17" spans="2:16" ht="18" customHeight="1">
      <c r="B17" s="20"/>
      <c r="C17" s="23" t="s">
        <v>27</v>
      </c>
      <c r="D17" s="20"/>
      <c r="E17" s="20"/>
      <c r="F17" s="20"/>
      <c r="G17" s="20"/>
      <c r="H17" s="20"/>
      <c r="O17" s="5">
        <f>DATE($D$5,10,1)</f>
        <v>45931</v>
      </c>
      <c r="P17" s="6" t="s">
        <v>14</v>
      </c>
    </row>
    <row r="18" spans="2:16" ht="18" customHeight="1">
      <c r="B18" s="21"/>
      <c r="C18" s="24"/>
      <c r="D18" s="21"/>
      <c r="E18" s="21"/>
      <c r="F18" s="21"/>
      <c r="G18" s="21"/>
      <c r="H18" s="21"/>
      <c r="O18" s="5">
        <f>DATE($D$5,10,3)</f>
        <v>45933</v>
      </c>
      <c r="P18" s="6" t="s">
        <v>20</v>
      </c>
    </row>
    <row r="19" spans="2:16" ht="18" customHeight="1" thickBot="1">
      <c r="B19" s="21"/>
      <c r="C19" s="24"/>
      <c r="D19" s="21"/>
      <c r="E19" s="21"/>
      <c r="F19" s="21"/>
      <c r="G19" s="21"/>
      <c r="H19" s="21"/>
      <c r="O19" s="5">
        <f>DATE($D$5,12,25)</f>
        <v>46016</v>
      </c>
      <c r="P19" s="6" t="s">
        <v>23</v>
      </c>
    </row>
    <row r="20" spans="2:16" ht="18" customHeight="1" thickBot="1">
      <c r="B20" s="4">
        <f>H16+1</f>
        <v>45732</v>
      </c>
      <c r="C20" s="4">
        <f>B20+1</f>
        <v>45733</v>
      </c>
      <c r="D20" s="4">
        <f t="shared" ref="D20:H20" si="3">C20+1</f>
        <v>45734</v>
      </c>
      <c r="E20" s="4">
        <f t="shared" si="3"/>
        <v>45735</v>
      </c>
      <c r="F20" s="4">
        <f t="shared" si="3"/>
        <v>45736</v>
      </c>
      <c r="G20" s="4">
        <f t="shared" si="3"/>
        <v>45737</v>
      </c>
      <c r="H20" s="4">
        <f t="shared" si="3"/>
        <v>45738</v>
      </c>
    </row>
    <row r="21" spans="2:16" ht="18" customHeight="1">
      <c r="B21" s="20"/>
      <c r="C21" s="28" t="s">
        <v>28</v>
      </c>
      <c r="D21" s="23"/>
      <c r="E21" s="23"/>
      <c r="F21" s="23"/>
      <c r="G21" s="23" t="s">
        <v>30</v>
      </c>
      <c r="H21" s="26"/>
    </row>
    <row r="22" spans="2:16" ht="18" customHeight="1">
      <c r="B22" s="21"/>
      <c r="C22" s="29"/>
      <c r="D22" s="24"/>
      <c r="E22" s="24"/>
      <c r="F22" s="24"/>
      <c r="G22" s="24"/>
      <c r="H22" s="27"/>
    </row>
    <row r="23" spans="2:16" ht="18" customHeight="1" thickBot="1">
      <c r="B23" s="21"/>
      <c r="C23" s="29"/>
      <c r="D23" s="24"/>
      <c r="E23" s="24"/>
      <c r="F23" s="24"/>
      <c r="G23" s="24"/>
      <c r="H23" s="27"/>
    </row>
    <row r="24" spans="2:16" ht="18" customHeight="1" thickBot="1">
      <c r="B24" s="4">
        <f>H20+1</f>
        <v>45739</v>
      </c>
      <c r="C24" s="4">
        <f>B24+1</f>
        <v>45740</v>
      </c>
      <c r="D24" s="4">
        <f t="shared" ref="D24:H24" si="4">C24+1</f>
        <v>45741</v>
      </c>
      <c r="E24" s="4">
        <f t="shared" si="4"/>
        <v>45742</v>
      </c>
      <c r="F24" s="4">
        <f t="shared" si="4"/>
        <v>45743</v>
      </c>
      <c r="G24" s="4">
        <f t="shared" si="4"/>
        <v>45744</v>
      </c>
      <c r="H24" s="4">
        <f t="shared" si="4"/>
        <v>45745</v>
      </c>
    </row>
    <row r="25" spans="2:16" ht="18" customHeight="1">
      <c r="B25" s="20"/>
      <c r="C25" s="20"/>
      <c r="D25" s="20"/>
      <c r="E25" s="20"/>
      <c r="F25" s="23" t="s">
        <v>29</v>
      </c>
      <c r="G25" s="20"/>
      <c r="H25" s="20"/>
    </row>
    <row r="26" spans="2:16" ht="18" customHeight="1">
      <c r="B26" s="21"/>
      <c r="C26" s="21"/>
      <c r="D26" s="21"/>
      <c r="E26" s="21"/>
      <c r="F26" s="24"/>
      <c r="G26" s="21"/>
      <c r="H26" s="21"/>
    </row>
    <row r="27" spans="2:16" ht="18" customHeight="1" thickBot="1">
      <c r="B27" s="22"/>
      <c r="C27" s="22"/>
      <c r="D27" s="22"/>
      <c r="E27" s="22"/>
      <c r="F27" s="25"/>
      <c r="G27" s="22"/>
      <c r="H27" s="22"/>
    </row>
  </sheetData>
  <mergeCells count="36">
    <mergeCell ref="H21:H23"/>
    <mergeCell ref="B25:B27"/>
    <mergeCell ref="C25:C27"/>
    <mergeCell ref="D25:D27"/>
    <mergeCell ref="E25:E27"/>
    <mergeCell ref="F25:F27"/>
    <mergeCell ref="G25:G27"/>
    <mergeCell ref="H25:H27"/>
    <mergeCell ref="B21:B23"/>
    <mergeCell ref="C21:C23"/>
    <mergeCell ref="D21:D23"/>
    <mergeCell ref="E21:E23"/>
    <mergeCell ref="F21:F23"/>
    <mergeCell ref="G21:G23"/>
    <mergeCell ref="H13:H15"/>
    <mergeCell ref="B17:B19"/>
    <mergeCell ref="C17:C19"/>
    <mergeCell ref="D17:D19"/>
    <mergeCell ref="E17:E19"/>
    <mergeCell ref="F17:F19"/>
    <mergeCell ref="G17:G19"/>
    <mergeCell ref="H17:H19"/>
    <mergeCell ref="B13:B15"/>
    <mergeCell ref="C13:C15"/>
    <mergeCell ref="D13:D15"/>
    <mergeCell ref="E13:E15"/>
    <mergeCell ref="F13:F15"/>
    <mergeCell ref="G13:G15"/>
    <mergeCell ref="G5:H5"/>
    <mergeCell ref="B9:B11"/>
    <mergeCell ref="C9:C11"/>
    <mergeCell ref="D9:D11"/>
    <mergeCell ref="E9:E11"/>
    <mergeCell ref="F9:F11"/>
    <mergeCell ref="G9:G11"/>
    <mergeCell ref="H9:H11"/>
  </mergeCells>
  <phoneticPr fontId="5" type="noConversion"/>
  <conditionalFormatting sqref="B8:H27">
    <cfRule type="expression" dxfId="0" priority="1">
      <formula>MATCH(B8,$O$7:$O$19,0)</formula>
    </cfRule>
  </conditionalFormatting>
  <pageMargins left="0.19685039370078741" right="0.11811023622047245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autoPict="0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5</xdr:col>
                    <xdr:colOff>906780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월간일정표</vt:lpstr>
    </vt:vector>
  </TitlesOfParts>
  <Company>beta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</dc:creator>
  <cp:lastModifiedBy>USER</cp:lastModifiedBy>
  <cp:lastPrinted>2014-01-08T06:50:06Z</cp:lastPrinted>
  <dcterms:created xsi:type="dcterms:W3CDTF">2014-01-08T02:52:35Z</dcterms:created>
  <dcterms:modified xsi:type="dcterms:W3CDTF">2025-03-13T05:55:05Z</dcterms:modified>
</cp:coreProperties>
</file>