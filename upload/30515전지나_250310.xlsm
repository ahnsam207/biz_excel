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B8" i="11" l="1"/>
  <c r="G4" i="11"/>
  <c r="H4" i="11" s="1"/>
  <c r="F5" i="11"/>
  <c r="D5" i="11"/>
  <c r="O7" i="11" l="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<sst xmlns="http://schemas.openxmlformats.org/spreadsheetml/2006/main" count="25" uniqueCount="24">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</sst>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0" fontId="9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14" fontId="0" fillId="0" borderId="4" xfId="0" applyNumberFormat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</xdr:row>
          <xdr:rowOff>213360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15240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="115" zoomScaleNormal="115" workbookViewId="0">
      <selection activeCell="B8" sqref="B8"/>
    </sheetView>
  </sheetViews>
  <sheetFormatPr defaultRowHeight="17.399999999999999"/>
  <cols>
    <col min="1" max="1" width="5" customWidth="1"/>
    <col min="2" max="6" width="11.8984375" customWidth="1"/>
    <col min="7" max="7" width="16" customWidth="1"/>
    <col min="8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45726</v>
      </c>
      <c r="H4" s="18" t="str">
        <f ca="1">CHOOSE(WEEKDAY(G4,2),"월요일","화요일","수요일","목요일","금요일","토요일","일요일")</f>
        <v>월요일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19" t="s">
        <v>22</v>
      </c>
      <c r="H5" s="1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0">
        <f>DATE(D5,F5,1)-WEEKDAY(DATE(D5,F5,1),2)</f>
        <v>45711</v>
      </c>
      <c r="C8" s="3"/>
      <c r="D8" s="3"/>
      <c r="E8" s="3"/>
      <c r="F8" s="3"/>
      <c r="G8" s="3"/>
      <c r="H8" s="3"/>
      <c r="M8">
        <v>6</v>
      </c>
      <c r="O8" s="5">
        <f>DATE($D$5,2,19)</f>
        <v>45707</v>
      </c>
      <c r="P8" s="6" t="s">
        <v>19</v>
      </c>
    </row>
    <row r="9" spans="2:16" ht="18" customHeight="1">
      <c r="B9" s="20"/>
      <c r="C9" s="20"/>
      <c r="D9" s="20"/>
      <c r="E9" s="20"/>
      <c r="F9" s="23"/>
      <c r="G9" s="23"/>
      <c r="H9" s="20"/>
      <c r="M9">
        <v>7</v>
      </c>
      <c r="O9" s="5">
        <f>DATE($D$5,3,1)</f>
        <v>45717</v>
      </c>
      <c r="P9" s="6" t="s">
        <v>7</v>
      </c>
    </row>
    <row r="10" spans="2:16" ht="18" customHeight="1">
      <c r="B10" s="21"/>
      <c r="C10" s="21"/>
      <c r="D10" s="21"/>
      <c r="E10" s="21"/>
      <c r="F10" s="24"/>
      <c r="G10" s="24"/>
      <c r="H10" s="21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2"/>
      <c r="C11" s="22"/>
      <c r="D11" s="22"/>
      <c r="E11" s="22"/>
      <c r="F11" s="25"/>
      <c r="G11" s="25"/>
      <c r="H11" s="22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/>
      <c r="C12" s="4"/>
      <c r="D12" s="4"/>
      <c r="E12" s="4"/>
      <c r="F12" s="4"/>
      <c r="G12" s="4"/>
      <c r="H12" s="4"/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0"/>
      <c r="C13" s="20"/>
      <c r="D13" s="20"/>
      <c r="E13" s="20"/>
      <c r="F13" s="23"/>
      <c r="G13" s="20"/>
      <c r="H13" s="20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1"/>
      <c r="C14" s="21"/>
      <c r="D14" s="21"/>
      <c r="E14" s="21"/>
      <c r="F14" s="24"/>
      <c r="G14" s="21"/>
      <c r="H14" s="21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2"/>
      <c r="C15" s="22"/>
      <c r="D15" s="22"/>
      <c r="E15" s="22"/>
      <c r="F15" s="25"/>
      <c r="G15" s="22"/>
      <c r="H15" s="22"/>
      <c r="O15" s="5">
        <f>DATE($D$5,8,15)</f>
        <v>45884</v>
      </c>
      <c r="P15" s="6" t="s">
        <v>13</v>
      </c>
    </row>
    <row r="16" spans="2:16" ht="18" customHeight="1" thickBot="1">
      <c r="B16" s="4"/>
      <c r="C16" s="4"/>
      <c r="D16" s="4"/>
      <c r="E16" s="4"/>
      <c r="F16" s="4"/>
      <c r="G16" s="4"/>
      <c r="H16" s="4"/>
      <c r="O16" s="5">
        <f>DATE($D$5,9,27)</f>
        <v>45927</v>
      </c>
      <c r="P16" s="6" t="s">
        <v>18</v>
      </c>
    </row>
    <row r="17" spans="2:16" ht="18" customHeight="1">
      <c r="B17" s="20"/>
      <c r="C17" s="23"/>
      <c r="D17" s="20"/>
      <c r="E17" s="20"/>
      <c r="F17" s="20"/>
      <c r="G17" s="20"/>
      <c r="H17" s="20"/>
      <c r="O17" s="5">
        <f>DATE($D$5,10,1)</f>
        <v>45931</v>
      </c>
      <c r="P17" s="6" t="s">
        <v>14</v>
      </c>
    </row>
    <row r="18" spans="2:16" ht="18" customHeight="1">
      <c r="B18" s="21"/>
      <c r="C18" s="24"/>
      <c r="D18" s="21"/>
      <c r="E18" s="21"/>
      <c r="F18" s="21"/>
      <c r="G18" s="21"/>
      <c r="H18" s="21"/>
      <c r="O18" s="5">
        <f>DATE($D$5,10,3)</f>
        <v>45933</v>
      </c>
      <c r="P18" s="6" t="s">
        <v>20</v>
      </c>
    </row>
    <row r="19" spans="2:16" ht="18" customHeight="1" thickBot="1">
      <c r="B19" s="21"/>
      <c r="C19" s="24"/>
      <c r="D19" s="21"/>
      <c r="E19" s="21"/>
      <c r="F19" s="21"/>
      <c r="G19" s="21"/>
      <c r="H19" s="21"/>
      <c r="O19" s="5">
        <f>DATE($D$5,12,25)</f>
        <v>46016</v>
      </c>
      <c r="P19" s="6" t="s">
        <v>23</v>
      </c>
    </row>
    <row r="20" spans="2:16" ht="18" customHeight="1" thickBot="1">
      <c r="B20" s="4"/>
      <c r="C20" s="4"/>
      <c r="D20" s="4"/>
      <c r="E20" s="4"/>
      <c r="F20" s="4"/>
      <c r="G20" s="4"/>
      <c r="H20" s="4"/>
    </row>
    <row r="21" spans="2:16" ht="18" customHeight="1">
      <c r="B21" s="20"/>
      <c r="C21" s="28"/>
      <c r="D21" s="23"/>
      <c r="E21" s="23"/>
      <c r="F21" s="23"/>
      <c r="G21" s="23"/>
      <c r="H21" s="26"/>
    </row>
    <row r="22" spans="2:16" ht="18" customHeight="1">
      <c r="B22" s="21"/>
      <c r="C22" s="29"/>
      <c r="D22" s="24"/>
      <c r="E22" s="24"/>
      <c r="F22" s="24"/>
      <c r="G22" s="24"/>
      <c r="H22" s="27"/>
    </row>
    <row r="23" spans="2:16" ht="18" customHeight="1" thickBot="1">
      <c r="B23" s="21"/>
      <c r="C23" s="29"/>
      <c r="D23" s="24"/>
      <c r="E23" s="24"/>
      <c r="F23" s="24"/>
      <c r="G23" s="24"/>
      <c r="H23" s="27"/>
    </row>
    <row r="24" spans="2:16" ht="18" customHeight="1" thickBot="1">
      <c r="B24" s="4"/>
      <c r="C24" s="4"/>
      <c r="D24" s="4"/>
      <c r="E24" s="4"/>
      <c r="F24" s="4"/>
      <c r="G24" s="4"/>
      <c r="H24" s="4"/>
    </row>
    <row r="25" spans="2:16" ht="18" customHeight="1">
      <c r="B25" s="20"/>
      <c r="C25" s="20"/>
      <c r="D25" s="20"/>
      <c r="E25" s="20"/>
      <c r="F25" s="23"/>
      <c r="G25" s="20"/>
      <c r="H25" s="20"/>
    </row>
    <row r="26" spans="2:16" ht="18" customHeight="1">
      <c r="B26" s="21"/>
      <c r="C26" s="21"/>
      <c r="D26" s="21"/>
      <c r="E26" s="21"/>
      <c r="F26" s="24"/>
      <c r="G26" s="21"/>
      <c r="H26" s="21"/>
    </row>
    <row r="27" spans="2:16" ht="18" customHeight="1" thickBot="1">
      <c r="B27" s="22"/>
      <c r="C27" s="22"/>
      <c r="D27" s="22"/>
      <c r="E27" s="22"/>
      <c r="F27" s="25"/>
      <c r="G27" s="22"/>
      <c r="H27" s="22"/>
    </row>
  </sheetData>
  <mergeCells count="36"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G5:H5"/>
    <mergeCell ref="B9:B11"/>
    <mergeCell ref="C9:C11"/>
    <mergeCell ref="D9:D11"/>
    <mergeCell ref="E9:E11"/>
    <mergeCell ref="F9:F11"/>
    <mergeCell ref="G9:G11"/>
    <mergeCell ref="H9:H11"/>
  </mergeCells>
  <phoneticPr fontId="5" type="noConversion"/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2</xdr:col>
                    <xdr:colOff>891540</xdr:colOff>
                    <xdr:row>1</xdr:row>
                    <xdr:rowOff>213360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Drop Down 6">
              <controlPr defaultSize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2025-03-10T06:07:29Z</dcterms:modified>
</cp:coreProperties>
</file>