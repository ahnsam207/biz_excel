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508안채린\안이옥쌤\"/>
    </mc:Choice>
  </mc:AlternateContent>
  <xr:revisionPtr revIDLastSave="0" documentId="8_{7B1E7092-91EF-4CE4-9649-9DEA2F8F781E}" xr6:coauthVersionLast="47" xr6:coauthVersionMax="47" xr10:uidLastSave="{00000000-0000-0000-0000-000000000000}"/>
  <bookViews>
    <workbookView xWindow="2460" yWindow="3396" windowWidth="17280" windowHeight="8964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명">'상품목록 및 배송요금'!$C$5:$C$14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6" l="1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G12" i="6"/>
  <c r="E10" i="6"/>
  <c r="H34" i="6"/>
  <c r="G13" i="6" l="1"/>
  <c r="E13" i="6"/>
  <c r="H13" i="6" s="1"/>
  <c r="E12" i="6"/>
  <c r="H12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<sst xmlns="http://schemas.openxmlformats.org/spreadsheetml/2006/main" count="59" uniqueCount="50">
  <si>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</si>
  <si>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</si>
  <si>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</si>
  <si>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</si>
  <si>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</si>
  <si>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</si>
  <si>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</si>
  <si>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</si>
  <si>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</si>
  <si>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</si>
  <si>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</si>
  <si>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</si>
  <si>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</si>
  <si>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</si>
  <si>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</si>
  <si>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</si>
  <si>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</si>
  <si>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</si>
  <si>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</si>
  <si>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</si>
  <si>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</si>
  <si>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</si>
  <si>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</si>
  <si>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</si>
  <si>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</si>
  <si>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</si>
  <si>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</si>
  <si>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</si>
  <si>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</si>
  <si>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</si>
  <si>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</si>
  <si>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</si>
  <si>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</si>
  <si>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</si>
  <si>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</si>
  <si>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</si>
  <si>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</si>
  <si>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</si>
  <si>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</si>
  <si>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</si>
  <si>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121-00-0000</t>
    <phoneticPr fontId="2" type="noConversion"/>
  </si>
  <si>
    <t>경복청과</t>
    <phoneticPr fontId="2" type="noConversion"/>
  </si>
  <si>
    <t>강서구 등촌동</t>
    <phoneticPr fontId="2" type="noConversion"/>
  </si>
  <si>
    <t>3661-3425</t>
    <phoneticPr fontId="2" type="noConversion"/>
  </si>
  <si>
    <t>성명</t>
    <phoneticPr fontId="2" type="noConversion"/>
  </si>
  <si>
    <t>김경복</t>
    <phoneticPr fontId="2" type="noConversion"/>
  </si>
  <si>
    <t>경향학원 귀하</t>
    <phoneticPr fontId="2" type="noConversion"/>
  </si>
  <si>
    <t>상업장</t>
    <phoneticPr fontId="2" type="noConversion"/>
  </si>
  <si>
    <t>전화번호</t>
    <phoneticPr fontId="2" type="noConversion"/>
  </si>
  <si>
    <t>상호
(법인명)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</si>
</sst>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41" fontId="5" fillId="0" borderId="7" xfId="0" applyNumberFormat="1" applyFont="1" applyBorder="1">
      <alignment vertical="center"/>
    </xf>
    <xf numFmtId="0" fontId="5" fillId="0" borderId="7" xfId="0" applyNumberFormat="1" applyFon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0</xdr:row>
      <xdr:rowOff>7620</xdr:rowOff>
    </xdr:from>
    <xdr:to>
      <xdr:col>7</xdr:col>
      <xdr:colOff>1272540</xdr:colOff>
      <xdr:row>2</xdr:row>
      <xdr:rowOff>213360</xdr:rowOff>
    </xdr:to>
    <xdr:sp macro="" textlink="">
      <xdr:nvSpPr>
        <xdr:cNvPr id="2" name="사각형: 둥근 모서리 1" descr="견조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6300" y="7620"/>
          <a:ext cx="5052060" cy="662940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33</xdr:row>
          <xdr:rowOff>175260</xdr:rowOff>
        </xdr:from>
        <xdr:to>
          <xdr:col>10</xdr:col>
          <xdr:colOff>0</xdr:colOff>
          <xdr:row>35</xdr:row>
          <xdr:rowOff>68580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4</xdr:row>
          <xdr:rowOff>205740</xdr:rowOff>
        </xdr:from>
        <xdr:to>
          <xdr:col>9</xdr:col>
          <xdr:colOff>876300</xdr:colOff>
          <xdr:row>5</xdr:row>
          <xdr:rowOff>441960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C5" sqref="C5:C14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8" t="s">
        <v>0</v>
      </c>
      <c r="C2" s="69"/>
      <c r="D2" s="69"/>
      <c r="E2" s="70"/>
      <c r="H2" s="68" t="s">
        <v>1</v>
      </c>
      <c r="I2" s="70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>
      <selection activeCell="L23" sqref="L23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5.898437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2" t="s">
        <v>46</v>
      </c>
      <c r="C5" s="72"/>
      <c r="D5" s="73" t="s">
        <v>38</v>
      </c>
      <c r="E5" s="9" t="s">
        <v>39</v>
      </c>
      <c r="F5" s="90" t="s">
        <v>40</v>
      </c>
      <c r="G5" s="91"/>
      <c r="H5" s="92"/>
      <c r="I5" s="60"/>
    </row>
    <row r="6" spans="1:52" ht="36.6" customHeight="1">
      <c r="B6" s="82">
        <v>45667</v>
      </c>
      <c r="C6" s="83"/>
      <c r="D6" s="74"/>
      <c r="E6" s="10" t="s">
        <v>49</v>
      </c>
      <c r="F6" s="11" t="s">
        <v>41</v>
      </c>
      <c r="G6" s="11" t="s">
        <v>44</v>
      </c>
      <c r="H6" s="12" t="s">
        <v>45</v>
      </c>
      <c r="I6" s="61"/>
    </row>
    <row r="7" spans="1:52" ht="16.5" customHeight="1">
      <c r="B7" s="13"/>
      <c r="C7" s="13"/>
      <c r="D7" s="74"/>
      <c r="E7" s="11" t="s">
        <v>47</v>
      </c>
      <c r="F7" s="76" t="s">
        <v>42</v>
      </c>
      <c r="G7" s="77"/>
      <c r="H7" s="78"/>
      <c r="I7" s="61"/>
    </row>
    <row r="8" spans="1:52" ht="16.5" customHeight="1" thickBot="1">
      <c r="B8" s="14"/>
      <c r="C8" s="14"/>
      <c r="D8" s="75"/>
      <c r="E8" s="21" t="s">
        <v>48</v>
      </c>
      <c r="F8" s="79" t="s">
        <v>43</v>
      </c>
      <c r="G8" s="80"/>
      <c r="H8" s="81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71">
        <f>H35</f>
        <v>21120</v>
      </c>
      <c r="F10" s="71"/>
      <c r="G10" s="71"/>
      <c r="H10" s="38" t="s">
        <v>25</v>
      </c>
    </row>
    <row r="11" spans="1:52" ht="18" customHeight="1">
      <c r="B11" s="39" t="s">
        <v>26</v>
      </c>
      <c r="C11" s="93" t="s">
        <v>3</v>
      </c>
      <c r="D11" s="94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>
        <v>102</v>
      </c>
      <c r="C12" s="88" t="str">
        <f t="shared" ref="C12:C30" si="0">IFERROR(INDEX(상품명,MATCH(B12,상품번호,0)),"")</f>
        <v>토마토</v>
      </c>
      <c r="D12" s="89"/>
      <c r="E12" s="40">
        <f>IFERROR(VLOOKUP(B12,상품목록,4,0),"")</f>
        <v>1500</v>
      </c>
      <c r="F12" s="41"/>
      <c r="G12" s="16" t="str">
        <f>IFERROR(VLOOKUP(B12,상품목록,3,0),"")</f>
        <v>Kg</v>
      </c>
      <c r="H12" s="67">
        <f>E12*F12</f>
        <v>0</v>
      </c>
      <c r="I12" s="62"/>
    </row>
    <row r="13" spans="1:52">
      <c r="B13" s="17">
        <v>103</v>
      </c>
      <c r="C13" s="88" t="str">
        <f t="shared" si="0"/>
        <v>수박</v>
      </c>
      <c r="D13" s="89"/>
      <c r="E13" s="40">
        <f>IFERROR(VLOOKUP(B13,상품목록,4,0),"")</f>
        <v>12500</v>
      </c>
      <c r="F13" s="41"/>
      <c r="G13" s="16" t="str">
        <f>IFERROR(VLOOKUP(B13,상품목록,3,0),"")</f>
        <v>개당</v>
      </c>
      <c r="H13" s="42">
        <f>E13*F13</f>
        <v>0</v>
      </c>
      <c r="I13" s="62"/>
    </row>
    <row r="14" spans="1:52">
      <c r="B14" s="16"/>
      <c r="C14" s="88" t="str">
        <f t="shared" si="0"/>
        <v/>
      </c>
      <c r="D14" s="89"/>
      <c r="E14" s="40"/>
      <c r="F14" s="43"/>
      <c r="G14" s="16"/>
      <c r="H14" s="42"/>
      <c r="I14" s="62"/>
    </row>
    <row r="15" spans="1:52">
      <c r="B15" s="16"/>
      <c r="C15" s="88" t="str">
        <f t="shared" si="0"/>
        <v/>
      </c>
      <c r="D15" s="89"/>
      <c r="E15" s="40"/>
      <c r="F15" s="43"/>
      <c r="G15" s="16"/>
      <c r="H15" s="42"/>
      <c r="I15" s="62"/>
    </row>
    <row r="16" spans="1:52">
      <c r="B16" s="16"/>
      <c r="C16" s="88" t="str">
        <f t="shared" si="0"/>
        <v/>
      </c>
      <c r="D16" s="89"/>
      <c r="E16" s="40"/>
      <c r="F16" s="43"/>
      <c r="G16" s="16"/>
      <c r="H16" s="42"/>
      <c r="I16" s="62"/>
    </row>
    <row r="17" spans="2:12">
      <c r="B17" s="16"/>
      <c r="C17" s="88" t="str">
        <f t="shared" si="0"/>
        <v/>
      </c>
      <c r="D17" s="89"/>
      <c r="E17" s="40"/>
      <c r="F17" s="43"/>
      <c r="G17" s="16"/>
      <c r="H17" s="42"/>
      <c r="I17" s="62"/>
    </row>
    <row r="18" spans="2:12">
      <c r="B18" s="16"/>
      <c r="C18" s="88" t="str">
        <f t="shared" si="0"/>
        <v/>
      </c>
      <c r="D18" s="89"/>
      <c r="E18" s="40"/>
      <c r="F18" s="43"/>
      <c r="G18" s="16"/>
      <c r="H18" s="42"/>
      <c r="I18" s="62"/>
    </row>
    <row r="19" spans="2:12">
      <c r="B19" s="16"/>
      <c r="C19" s="88" t="str">
        <f t="shared" si="0"/>
        <v/>
      </c>
      <c r="D19" s="89"/>
      <c r="E19" s="40"/>
      <c r="F19" s="43"/>
      <c r="G19" s="16"/>
      <c r="H19" s="42"/>
      <c r="I19" s="62"/>
    </row>
    <row r="20" spans="2:12">
      <c r="B20" s="16"/>
      <c r="C20" s="88" t="str">
        <f t="shared" si="0"/>
        <v/>
      </c>
      <c r="D20" s="89"/>
      <c r="E20" s="40"/>
      <c r="F20" s="43"/>
      <c r="G20" s="16"/>
      <c r="H20" s="42"/>
      <c r="I20" s="62"/>
    </row>
    <row r="21" spans="2:12">
      <c r="B21" s="16"/>
      <c r="C21" s="88" t="str">
        <f t="shared" si="0"/>
        <v/>
      </c>
      <c r="D21" s="89"/>
      <c r="E21" s="40"/>
      <c r="F21" s="43"/>
      <c r="G21" s="16"/>
      <c r="H21" s="42"/>
      <c r="I21" s="62"/>
    </row>
    <row r="22" spans="2:12">
      <c r="B22" s="16"/>
      <c r="C22" s="88" t="str">
        <f t="shared" si="0"/>
        <v/>
      </c>
      <c r="D22" s="89"/>
      <c r="E22" s="40"/>
      <c r="F22" s="43"/>
      <c r="G22" s="16"/>
      <c r="H22" s="42"/>
      <c r="I22" s="62"/>
    </row>
    <row r="23" spans="2:12">
      <c r="B23" s="16"/>
      <c r="C23" s="88" t="str">
        <f t="shared" si="0"/>
        <v/>
      </c>
      <c r="D23" s="89"/>
      <c r="E23" s="40"/>
      <c r="F23" s="43"/>
      <c r="G23" s="16"/>
      <c r="H23" s="42"/>
      <c r="I23" s="62"/>
    </row>
    <row r="24" spans="2:12">
      <c r="B24" s="16"/>
      <c r="C24" s="88" t="str">
        <f t="shared" si="0"/>
        <v/>
      </c>
      <c r="D24" s="89"/>
      <c r="E24" s="40"/>
      <c r="F24" s="43"/>
      <c r="G24" s="16"/>
      <c r="H24" s="42"/>
      <c r="I24" s="62"/>
    </row>
    <row r="25" spans="2:12">
      <c r="B25" s="16"/>
      <c r="C25" s="88" t="str">
        <f t="shared" si="0"/>
        <v/>
      </c>
      <c r="D25" s="89"/>
      <c r="E25" s="40"/>
      <c r="F25" s="43"/>
      <c r="G25" s="16"/>
      <c r="H25" s="42"/>
      <c r="I25" s="62"/>
    </row>
    <row r="26" spans="2:12">
      <c r="B26" s="16"/>
      <c r="C26" s="88" t="str">
        <f t="shared" si="0"/>
        <v/>
      </c>
      <c r="D26" s="89"/>
      <c r="E26" s="40"/>
      <c r="F26" s="43"/>
      <c r="G26" s="16"/>
      <c r="H26" s="42"/>
      <c r="I26" s="62"/>
    </row>
    <row r="27" spans="2:12">
      <c r="B27" s="16"/>
      <c r="C27" s="88" t="str">
        <f t="shared" si="0"/>
        <v/>
      </c>
      <c r="D27" s="89"/>
      <c r="E27" s="40"/>
      <c r="F27" s="43"/>
      <c r="G27" s="16"/>
      <c r="H27" s="42"/>
      <c r="I27" s="62"/>
    </row>
    <row r="28" spans="2:12">
      <c r="B28" s="16"/>
      <c r="C28" s="88" t="str">
        <f t="shared" si="0"/>
        <v/>
      </c>
      <c r="D28" s="89"/>
      <c r="E28" s="40"/>
      <c r="F28" s="43"/>
      <c r="G28" s="16"/>
      <c r="H28" s="42"/>
      <c r="I28" s="62"/>
      <c r="J28" s="44"/>
      <c r="K28" s="44"/>
      <c r="L28" s="44"/>
    </row>
    <row r="29" spans="2:12">
      <c r="B29" s="16"/>
      <c r="C29" s="88" t="str">
        <f t="shared" si="0"/>
        <v/>
      </c>
      <c r="D29" s="89"/>
      <c r="E29" s="40"/>
      <c r="F29" s="43"/>
      <c r="G29" s="16"/>
      <c r="H29" s="42"/>
      <c r="I29" s="62"/>
      <c r="J29" s="44"/>
      <c r="K29" s="44"/>
      <c r="L29" s="44"/>
    </row>
    <row r="30" spans="2:12">
      <c r="B30" s="16"/>
      <c r="C30" s="88" t="str">
        <f t="shared" si="0"/>
        <v/>
      </c>
      <c r="D30" s="89"/>
      <c r="E30" s="40"/>
      <c r="F30" s="43"/>
      <c r="G30" s="16"/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4" t="s">
        <v>30</v>
      </c>
      <c r="G32" s="85"/>
      <c r="H32" s="46">
        <v>19200</v>
      </c>
      <c r="I32" s="45"/>
      <c r="K32" s="44"/>
      <c r="L32" s="44"/>
    </row>
    <row r="33" spans="4:12">
      <c r="F33" s="84" t="s">
        <v>31</v>
      </c>
      <c r="G33" s="85"/>
      <c r="H33" s="46">
        <v>1920</v>
      </c>
      <c r="I33" s="45"/>
      <c r="J33" s="44"/>
      <c r="K33" s="44"/>
      <c r="L33" s="44"/>
    </row>
    <row r="34" spans="4:12">
      <c r="F34" s="86" t="s">
        <v>32</v>
      </c>
      <c r="G34" s="86"/>
      <c r="H34" s="47">
        <f>IF(K35=TRUE,0,VLOOKUP(H32,배송요금,3,TRUE))</f>
        <v>0</v>
      </c>
      <c r="I34" s="63"/>
      <c r="J34" s="48" t="s">
        <v>33</v>
      </c>
      <c r="K34" s="44"/>
      <c r="L34" s="44"/>
    </row>
    <row r="35" spans="4:12">
      <c r="F35" s="84" t="s">
        <v>34</v>
      </c>
      <c r="G35" s="85"/>
      <c r="H35" s="66">
        <v>21120</v>
      </c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7"/>
      <c r="G39" s="87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disablePrompts="1"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15240</xdr:colOff>
                    <xdr:row>33</xdr:row>
                    <xdr:rowOff>175260</xdr:rowOff>
                  </from>
                  <to>
                    <xdr:col>10</xdr:col>
                    <xdr:colOff>0</xdr:colOff>
                    <xdr:row>35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30480</xdr:colOff>
                    <xdr:row>4</xdr:row>
                    <xdr:rowOff>205740</xdr:rowOff>
                  </from>
                  <to>
                    <xdr:col>9</xdr:col>
                    <xdr:colOff>876300</xdr:colOff>
                    <xdr:row>5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4</vt:i4>
      </vt:variant>
    </vt:vector>
  </HeadingPairs>
  <TitlesOfParts>
    <vt:vector size="6" baseType="lpstr">
      <vt:lpstr>상품목록 및 배송요금</vt:lpstr>
      <vt:lpstr>견적서</vt:lpstr>
      <vt:lpstr>배송요금</vt:lpstr>
      <vt:lpstr>상품명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2025-03-31T06:03:05Z</dcterms:modified>
  <cp:category/>
  <cp:contentStatus/>
</cp:coreProperties>
</file>