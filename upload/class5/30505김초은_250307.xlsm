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<sst xmlns="http://schemas.openxmlformats.org/spreadsheetml/2006/main" count="25" uniqueCount="24">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</sst>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"/>
    <numFmt numFmtId="177" formatCode="mm&quot;월&quot;\ dd&quot;일&quot;"/>
    <numFmt numFmtId="178" formatCode="[$-F800]dddd\,\ mmmm\ dd\,\ yyyy"/>
    <numFmt numFmtId="179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B9" sqref="B9:B11"/>
    </sheetView>
  </sheetViews>
  <sheetFormatPr defaultRowHeight="17.399999999999999"/>
  <cols>
    <col min="1" max="1" width="5" customWidth="1"/>
    <col min="2" max="6" width="11.8984375" customWidth="1"/>
    <col min="7" max="7" width="15.398437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1</v>
      </c>
      <c r="G3" s="16"/>
      <c r="H3" s="16"/>
      <c r="M3">
        <v>1</v>
      </c>
    </row>
    <row r="4" spans="2:16" ht="18" customHeight="1">
      <c r="F4" s="17"/>
      <c r="G4" s="19"/>
      <c r="H4" s="18"/>
      <c r="M4">
        <v>2</v>
      </c>
    </row>
    <row r="5" spans="2:16" ht="35.25" customHeight="1">
      <c r="C5" s="1"/>
      <c r="D5" s="11"/>
      <c r="E5" s="13" t="s">
        <v>21</v>
      </c>
      <c r="F5" s="12"/>
      <c r="G5" s="20" t="s">
        <v>22</v>
      </c>
      <c r="H5" s="20"/>
      <c r="J5" s="2">
        <f>DATE(C3,F3,1)</f>
        <v>45658</v>
      </c>
      <c r="M5">
        <v>3</v>
      </c>
    </row>
    <row r="6" spans="2:16" ht="18" customHeight="1" thickBot="1">
      <c r="J6">
        <f>(WEEKDAY(DATE(C3,F3,1),2))</f>
        <v>3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1</v>
      </c>
      <c r="P7" s="6" t="s">
        <v>17</v>
      </c>
    </row>
    <row r="8" spans="2:16" ht="18" customHeight="1" thickBot="1">
      <c r="B8" s="3"/>
      <c r="C8" s="3"/>
      <c r="D8" s="3"/>
      <c r="E8" s="3"/>
      <c r="F8" s="3"/>
      <c r="G8" s="3"/>
      <c r="H8" s="3"/>
      <c r="M8">
        <v>6</v>
      </c>
      <c r="O8" s="5">
        <f>DATE($D$5,2,19)</f>
        <v>50</v>
      </c>
      <c r="P8" s="6" t="s">
        <v>19</v>
      </c>
    </row>
    <row r="9" spans="2:16" ht="18" customHeight="1">
      <c r="B9" s="24"/>
      <c r="C9" s="24"/>
      <c r="D9" s="24"/>
      <c r="E9" s="24"/>
      <c r="F9" s="25"/>
      <c r="G9" s="21"/>
      <c r="H9" s="24"/>
      <c r="M9">
        <v>7</v>
      </c>
      <c r="O9" s="5">
        <f>DATE($D$5,3,1)</f>
        <v>61</v>
      </c>
      <c r="P9" s="6" t="s">
        <v>7</v>
      </c>
    </row>
    <row r="10" spans="2:16" ht="18" customHeight="1">
      <c r="B10" s="22"/>
      <c r="C10" s="22"/>
      <c r="D10" s="22"/>
      <c r="E10" s="22"/>
      <c r="F10" s="26"/>
      <c r="G10" s="22"/>
      <c r="H10" s="22"/>
      <c r="M10">
        <v>8</v>
      </c>
      <c r="O10" s="5">
        <f>DATE($D$5,4,5)</f>
        <v>96</v>
      </c>
      <c r="P10" s="6" t="s">
        <v>8</v>
      </c>
    </row>
    <row r="11" spans="2:16" ht="18" customHeight="1" thickBot="1">
      <c r="B11" s="23"/>
      <c r="C11" s="23"/>
      <c r="D11" s="23"/>
      <c r="E11" s="23"/>
      <c r="F11" s="27"/>
      <c r="G11" s="23"/>
      <c r="H11" s="23"/>
      <c r="M11">
        <v>9</v>
      </c>
      <c r="O11" s="5">
        <f>DATE($D$5,5,5)</f>
        <v>126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136</v>
      </c>
      <c r="P12" s="6" t="s">
        <v>10</v>
      </c>
    </row>
    <row r="13" spans="2:16" ht="18" customHeight="1">
      <c r="B13" s="24"/>
      <c r="C13" s="24"/>
      <c r="D13" s="24"/>
      <c r="E13" s="24"/>
      <c r="F13" s="25"/>
      <c r="G13" s="24"/>
      <c r="H13" s="24"/>
      <c r="M13">
        <v>11</v>
      </c>
      <c r="O13" s="5">
        <f>DATE($D$5,6,6)</f>
        <v>158</v>
      </c>
      <c r="P13" s="6" t="s">
        <v>11</v>
      </c>
    </row>
    <row r="14" spans="2:16" ht="18" customHeight="1">
      <c r="B14" s="22"/>
      <c r="C14" s="22"/>
      <c r="D14" s="22"/>
      <c r="E14" s="22"/>
      <c r="F14" s="26"/>
      <c r="G14" s="22"/>
      <c r="H14" s="22"/>
      <c r="M14">
        <v>12</v>
      </c>
      <c r="O14" s="5">
        <f>DATE($D$5,7,17)</f>
        <v>199</v>
      </c>
      <c r="P14" s="6" t="s">
        <v>12</v>
      </c>
    </row>
    <row r="15" spans="2:16" ht="18" customHeight="1" thickBot="1">
      <c r="B15" s="23"/>
      <c r="C15" s="23"/>
      <c r="D15" s="23"/>
      <c r="E15" s="23"/>
      <c r="F15" s="27"/>
      <c r="G15" s="23"/>
      <c r="H15" s="23"/>
      <c r="O15" s="5">
        <f>DATE($D$5,8,15)</f>
        <v>228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271</v>
      </c>
      <c r="P16" s="6" t="s">
        <v>18</v>
      </c>
    </row>
    <row r="17" spans="2:16" ht="18" customHeight="1">
      <c r="B17" s="24"/>
      <c r="C17" s="25"/>
      <c r="D17" s="24"/>
      <c r="E17" s="24"/>
      <c r="F17" s="24"/>
      <c r="G17" s="24"/>
      <c r="H17" s="24"/>
      <c r="O17" s="5">
        <f>DATE($D$5,10,1)</f>
        <v>275</v>
      </c>
      <c r="P17" s="6" t="s">
        <v>14</v>
      </c>
    </row>
    <row r="18" spans="2:16" ht="18" customHeight="1">
      <c r="B18" s="22"/>
      <c r="C18" s="26"/>
      <c r="D18" s="22"/>
      <c r="E18" s="22"/>
      <c r="F18" s="22"/>
      <c r="G18" s="22"/>
      <c r="H18" s="22"/>
      <c r="O18" s="5">
        <f>DATE($D$5,10,3)</f>
        <v>277</v>
      </c>
      <c r="P18" s="6" t="s">
        <v>20</v>
      </c>
    </row>
    <row r="19" spans="2:16" ht="18" customHeight="1" thickBot="1">
      <c r="B19" s="22"/>
      <c r="C19" s="26"/>
      <c r="D19" s="22"/>
      <c r="E19" s="22"/>
      <c r="F19" s="22"/>
      <c r="G19" s="22"/>
      <c r="H19" s="22"/>
      <c r="O19" s="5">
        <f>DATE($D$5,12,25)</f>
        <v>360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4"/>
      <c r="C21" s="30"/>
      <c r="D21" s="25"/>
      <c r="E21" s="25"/>
      <c r="F21" s="25"/>
      <c r="G21" s="25"/>
      <c r="H21" s="28"/>
    </row>
    <row r="22" spans="2:16" ht="18" customHeight="1">
      <c r="B22" s="22"/>
      <c r="C22" s="31"/>
      <c r="D22" s="26"/>
      <c r="E22" s="26"/>
      <c r="F22" s="26"/>
      <c r="G22" s="26"/>
      <c r="H22" s="29"/>
    </row>
    <row r="23" spans="2:16" ht="18" customHeight="1" thickBot="1">
      <c r="B23" s="22"/>
      <c r="C23" s="31"/>
      <c r="D23" s="26"/>
      <c r="E23" s="26"/>
      <c r="F23" s="26"/>
      <c r="G23" s="26"/>
      <c r="H23" s="29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4"/>
      <c r="C25" s="24"/>
      <c r="D25" s="24"/>
      <c r="E25" s="24"/>
      <c r="F25" s="25"/>
      <c r="G25" s="24"/>
      <c r="H25" s="24"/>
    </row>
    <row r="26" spans="2:16" ht="18" customHeight="1">
      <c r="B26" s="22"/>
      <c r="C26" s="22"/>
      <c r="D26" s="22"/>
      <c r="E26" s="22"/>
      <c r="F26" s="26"/>
      <c r="G26" s="22"/>
      <c r="H26" s="22"/>
    </row>
    <row r="27" spans="2:16" ht="18" customHeight="1" thickBot="1">
      <c r="B27" s="23"/>
      <c r="C27" s="23"/>
      <c r="D27" s="23"/>
      <c r="E27" s="23"/>
      <c r="F27" s="27"/>
      <c r="G27" s="23"/>
      <c r="H27" s="23"/>
    </row>
  </sheetData>
  <mergeCells count="36">
    <mergeCell ref="B9:B11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G9:G11"/>
    <mergeCell ref="C9:C11"/>
    <mergeCell ref="D9:D11"/>
    <mergeCell ref="E9:E11"/>
    <mergeCell ref="F9:F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2025-03-10T23:54:51Z</dcterms:modified>
</cp:coreProperties>
</file>