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 l="1"/>
  <c r="D5" i="11"/>
  <c r="J6" i="11"/>
  <c r="J5" i="11"/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O7" i="11"/>
  <c r="O8" i="11"/>
  <c r="O13" i="11"/>
  <c r="O14" i="11"/>
  <c r="O15" i="11"/>
  <c r="O16" i="11"/>
  <c r="O9" i="11"/>
  <c r="O17" i="11"/>
  <c r="O10" i="11"/>
  <c r="O18" i="11"/>
  <c r="O11" i="11"/>
  <c r="O19" i="11"/>
  <c r="O12" i="11"/>
  <c r="I16" i="11" l="1"/>
  <c r="J16" i="11" s="1"/>
  <c r="K16" i="11" s="1"/>
  <c r="L16" i="11" s="1"/>
  <c r="B20" i="1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<sst xmlns="http://schemas.openxmlformats.org/spreadsheetml/2006/main" count="32" uniqueCount="31">
  <si>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</si>
  <si>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</si>
  <si>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</si>
  <si>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</si>
  <si>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</si>
  <si>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</si>
  <si>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</si>
  <si>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</si>
  <si>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</si>
  <si>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</si>
  <si>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</si>
  <si>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</si>
  <si>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</si>
  <si>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</si>
  <si>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</si>
  <si>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</si>
  <si>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</si>
  <si>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</si>
  <si>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</si>
  <si>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</si>
  <si>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</si>
  <si>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</si>
  <si>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</si>
  <si>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</si>
  <si>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 회의</t>
    <phoneticPr fontId="5" type="noConversion"/>
  </si>
  <si>
    <t>프로젝트 세부 회의</t>
    <phoneticPr fontId="5" type="noConversion"/>
  </si>
  <si>
    <t>12:00 원인터 방문 미팅</t>
    <phoneticPr fontId="5" type="noConversion"/>
  </si>
  <si>
    <t>13:00 팀장님과프로젝트 협의</t>
    <phoneticPr fontId="5" type="noConversion"/>
  </si>
  <si>
    <t>10:00 신상품 프로모션 기획 발표</t>
    <phoneticPr fontId="5" type="noConversion"/>
  </si>
  <si>
    <t>18:00 프로젝트 보고서 마감</t>
    <phoneticPr fontId="5" type="noConversion"/>
  </si>
  <si>
    <t>16:00 프로젝트 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</si>
</sst>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115" zoomScaleNormal="115" workbookViewId="0">
      <selection activeCell="N14" sqref="N14"/>
    </sheetView>
  </sheetViews>
  <sheetFormatPr defaultRowHeight="17.399999999999999"/>
  <cols>
    <col min="1" max="1" width="5" customWidth="1"/>
    <col min="2" max="2" width="15.69921875" bestFit="1" customWidth="1"/>
    <col min="3" max="6" width="11.8984375" customWidth="1"/>
    <col min="7" max="7" width="12.796875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/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 ca="1">YEAR(G4)</f>
        <v>2025</v>
      </c>
      <c r="E5" s="13" t="s">
        <v>21</v>
      </c>
      <c r="F5" s="12">
        <f ca="1">MONTH(G4)</f>
        <v>3</v>
      </c>
      <c r="G5" s="19" t="s">
        <v>22</v>
      </c>
      <c r="H5" s="19"/>
      <c r="J5" s="2">
        <f>DATE(C3,F3,1)</f>
        <v>45627</v>
      </c>
      <c r="M5">
        <v>3</v>
      </c>
    </row>
    <row r="6" spans="2:16" ht="18" customHeight="1" thickBot="1">
      <c r="J6">
        <f>(WEEKDAY(DATE(C3,F3,1),2))</f>
        <v>7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 ca="1">DATE($D$5,1,1)</f>
        <v>45658</v>
      </c>
      <c r="P7" s="6" t="s">
        <v>17</v>
      </c>
    </row>
    <row r="8" spans="2:16" ht="18" customHeight="1" thickBot="1">
      <c r="B8" s="3">
        <f ca="1">DATE(D5,F5,1)-WEEKDAY(DATE(D5,F5,1),2)</f>
        <v>45711</v>
      </c>
      <c r="C8" s="3">
        <f ca="1">B8+1</f>
        <v>45712</v>
      </c>
      <c r="D8" s="3">
        <f t="shared" ref="D8:H8" ca="1" si="0">C8+1</f>
        <v>45713</v>
      </c>
      <c r="E8" s="3">
        <f t="shared" ca="1" si="0"/>
        <v>45714</v>
      </c>
      <c r="F8" s="3">
        <f t="shared" ca="1" si="0"/>
        <v>45715</v>
      </c>
      <c r="G8" s="3">
        <f t="shared" ca="1" si="0"/>
        <v>45716</v>
      </c>
      <c r="H8" s="3">
        <f t="shared" ca="1" si="0"/>
        <v>45717</v>
      </c>
      <c r="M8">
        <v>6</v>
      </c>
      <c r="O8" s="5">
        <f ca="1"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 t="s">
        <v>24</v>
      </c>
      <c r="G9" s="23" t="s">
        <v>25</v>
      </c>
      <c r="H9" s="20"/>
      <c r="M9">
        <v>7</v>
      </c>
      <c r="O9" s="5">
        <f ca="1"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 ca="1"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 ca="1">DATE($D$5,5,5)</f>
        <v>45782</v>
      </c>
      <c r="P11" s="6" t="s">
        <v>9</v>
      </c>
    </row>
    <row r="12" spans="2:16" ht="18" customHeight="1" thickBot="1">
      <c r="B12" s="4">
        <f ca="1">H8+1</f>
        <v>45718</v>
      </c>
      <c r="C12" s="4">
        <f ca="1">B12+1</f>
        <v>45719</v>
      </c>
      <c r="D12" s="4">
        <f t="shared" ref="D12:H12" ca="1" si="1">C12+1</f>
        <v>45720</v>
      </c>
      <c r="E12" s="4">
        <f t="shared" ca="1" si="1"/>
        <v>45721</v>
      </c>
      <c r="F12" s="4">
        <f t="shared" ca="1" si="1"/>
        <v>45722</v>
      </c>
      <c r="G12" s="4">
        <f t="shared" ca="1" si="1"/>
        <v>45723</v>
      </c>
      <c r="H12" s="4">
        <f t="shared" ca="1" si="1"/>
        <v>45724</v>
      </c>
      <c r="M12">
        <v>10</v>
      </c>
      <c r="O12" s="5">
        <f ca="1"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 t="s">
        <v>26</v>
      </c>
      <c r="G13" s="20"/>
      <c r="H13" s="20"/>
      <c r="M13">
        <v>11</v>
      </c>
      <c r="O13" s="5">
        <f ca="1"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 ca="1"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 ca="1">DATE($D$5,8,15)</f>
        <v>45884</v>
      </c>
      <c r="P15" s="6" t="s">
        <v>13</v>
      </c>
    </row>
    <row r="16" spans="2:16" ht="18" customHeight="1" thickBot="1">
      <c r="B16" s="4">
        <f ca="1">H12+1</f>
        <v>45725</v>
      </c>
      <c r="C16" s="4">
        <f ca="1">B16+1</f>
        <v>45726</v>
      </c>
      <c r="D16" s="4">
        <f t="shared" ref="D16:L16" ca="1" si="2">C16+1</f>
        <v>45727</v>
      </c>
      <c r="E16" s="4">
        <f t="shared" ca="1" si="2"/>
        <v>45728</v>
      </c>
      <c r="F16" s="4">
        <f t="shared" ca="1" si="2"/>
        <v>45729</v>
      </c>
      <c r="G16" s="4">
        <f t="shared" ca="1" si="2"/>
        <v>45730</v>
      </c>
      <c r="H16" s="4">
        <f t="shared" ca="1" si="2"/>
        <v>45731</v>
      </c>
      <c r="I16" s="4">
        <f t="shared" ca="1" si="2"/>
        <v>45732</v>
      </c>
      <c r="J16" s="4">
        <f t="shared" ca="1" si="2"/>
        <v>45733</v>
      </c>
      <c r="K16" s="4">
        <f t="shared" ca="1" si="2"/>
        <v>45734</v>
      </c>
      <c r="L16" s="4">
        <f t="shared" ca="1" si="2"/>
        <v>45735</v>
      </c>
      <c r="O16" s="5">
        <f ca="1">DATE($D$5,9,27)</f>
        <v>45927</v>
      </c>
      <c r="P16" s="6" t="s">
        <v>18</v>
      </c>
    </row>
    <row r="17" spans="2:16" ht="18" customHeight="1">
      <c r="B17" s="20"/>
      <c r="C17" s="23" t="s">
        <v>27</v>
      </c>
      <c r="D17" s="20"/>
      <c r="E17" s="20"/>
      <c r="F17" s="20"/>
      <c r="G17" s="20"/>
      <c r="H17" s="20"/>
      <c r="O17" s="5">
        <f ca="1"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 ca="1"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 ca="1">DATE($D$5,12,25)</f>
        <v>46016</v>
      </c>
      <c r="P19" s="6" t="s">
        <v>23</v>
      </c>
    </row>
    <row r="20" spans="2:16" ht="18" customHeight="1" thickBot="1">
      <c r="B20" s="4">
        <f ca="1">H16+1</f>
        <v>45732</v>
      </c>
      <c r="C20" s="4">
        <f ca="1">B20+1</f>
        <v>45733</v>
      </c>
      <c r="D20" s="4">
        <f t="shared" ref="D20:H20" ca="1" si="3">C20+1</f>
        <v>45734</v>
      </c>
      <c r="E20" s="4">
        <f t="shared" ca="1" si="3"/>
        <v>45735</v>
      </c>
      <c r="F20" s="4">
        <f t="shared" ca="1" si="3"/>
        <v>45736</v>
      </c>
      <c r="G20" s="4">
        <f t="shared" ca="1" si="3"/>
        <v>45737</v>
      </c>
      <c r="H20" s="4">
        <f t="shared" ca="1" si="3"/>
        <v>45738</v>
      </c>
    </row>
    <row r="21" spans="2:16" ht="18" customHeight="1">
      <c r="B21" s="20"/>
      <c r="C21" s="28" t="s">
        <v>28</v>
      </c>
      <c r="D21" s="23"/>
      <c r="E21" s="23"/>
      <c r="F21" s="23"/>
      <c r="G21" s="23" t="s">
        <v>29</v>
      </c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 ca="1">H20+1</f>
        <v>45739</v>
      </c>
      <c r="C24" s="4">
        <f ca="1">B24+1</f>
        <v>45740</v>
      </c>
      <c r="D24" s="4">
        <f t="shared" ref="D24:H24" ca="1" si="4">C24+1</f>
        <v>45741</v>
      </c>
      <c r="E24" s="4">
        <f t="shared" ca="1" si="4"/>
        <v>45742</v>
      </c>
      <c r="F24" s="4">
        <f t="shared" ca="1" si="4"/>
        <v>45743</v>
      </c>
      <c r="G24" s="4">
        <f t="shared" ca="1" si="4"/>
        <v>45744</v>
      </c>
      <c r="H24" s="4">
        <f t="shared" ca="1" si="4"/>
        <v>45745</v>
      </c>
    </row>
    <row r="25" spans="2:16" ht="18" customHeight="1">
      <c r="B25" s="20"/>
      <c r="C25" s="20"/>
      <c r="D25" s="20"/>
      <c r="E25" s="20"/>
      <c r="F25" s="23" t="s">
        <v>30</v>
      </c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2025-03-13T05:55:22Z</dcterms:modified>
</cp:coreProperties>
</file>