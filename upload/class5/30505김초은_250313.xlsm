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24" i="11" l="1"/>
  <c r="E24" i="11"/>
  <c r="F24" i="11" s="1"/>
  <c r="G24" i="11" s="1"/>
  <c r="H24" i="11" s="1"/>
  <c r="C24" i="11"/>
  <c r="B24" i="11"/>
  <c r="D20" i="11"/>
  <c r="E20" i="11"/>
  <c r="F20" i="11" s="1"/>
  <c r="G20" i="11" s="1"/>
  <c r="H20" i="11" s="1"/>
  <c r="C20" i="11"/>
  <c r="B20" i="11"/>
  <c r="D16" i="11"/>
  <c r="E16" i="11" s="1"/>
  <c r="F16" i="11" s="1"/>
  <c r="G16" i="11" s="1"/>
  <c r="H16" i="11" s="1"/>
  <c r="C16" i="11"/>
  <c r="B16" i="11"/>
  <c r="D12" i="11"/>
  <c r="E12" i="11"/>
  <c r="F12" i="11" s="1"/>
  <c r="G12" i="11" s="1"/>
  <c r="H12" i="11" s="1"/>
  <c r="C12" i="11"/>
  <c r="B12" i="11"/>
  <c r="D8" i="11"/>
  <c r="E8" i="11"/>
  <c r="F8" i="11" s="1"/>
  <c r="G8" i="11" s="1"/>
  <c r="H8" i="11" s="1"/>
  <c r="C8" i="11"/>
  <c r="B8" i="11"/>
  <c r="G4" i="11" l="1"/>
  <c r="H4" i="11" s="1"/>
  <c r="F5" i="11"/>
  <c r="D5" i="11"/>
  <c r="O7" i="11" l="1"/>
  <c r="O19" i="11" l="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<sst xmlns="http://schemas.openxmlformats.org/spreadsheetml/2006/main" count="31" uniqueCount="30">
  <si>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</si>
  <si>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</si>
  <si>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</si>
  <si>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</si>
  <si>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</si>
  <si>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</si>
  <si>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</si>
  <si>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</si>
  <si>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</si>
  <si>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</si>
  <si>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</si>
  <si>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</si>
  <si>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</si>
  <si>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</si>
  <si>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</si>
  <si>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</si>
  <si>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</si>
  <si>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</si>
  <si>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</si>
  <si>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</si>
  <si>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</si>
  <si>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</si>
  <si>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</si>
  <si>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</si>
  <si>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10:00 프로젝트
회의</t>
    <phoneticPr fontId="5" type="noConversion"/>
  </si>
  <si>
    <t>프로젝트 세부
회의</t>
    <phoneticPr fontId="5" type="noConversion"/>
  </si>
  <si>
    <t>12:00 원인터
방문 미팅</t>
    <phoneticPr fontId="5" type="noConversion"/>
  </si>
  <si>
    <t>12:00 팀장님과
프로젝트 협의</t>
    <phoneticPr fontId="5" type="noConversion"/>
  </si>
  <si>
    <t>10:00 신상품
프로모션 기획
발표</t>
    <phoneticPr fontId="5" type="noConversion"/>
  </si>
  <si>
    <t>18:00 프로젝트
보고서 마감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</si>
</sst>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"/>
    <numFmt numFmtId="177" formatCode="mm&quot;월&quot;\ dd&quot;일&quot;"/>
    <numFmt numFmtId="178" formatCode="[$-F800]dddd\,\ mmmm\ dd\,\ yyyy"/>
    <numFmt numFmtId="179" formatCode="yyyy&quot;년&quot;\ m&quot;월&quot;\ d&quot;일&quot;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14" fontId="0" fillId="0" borderId="3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1">
    <cellStyle name="표준" xfId="0" builtinId="0"/>
  </cellStyles>
  <dxfs count="1">
    <dxf>
      <font>
        <color rgb="FFFF0000"/>
      </font>
      <fill>
        <patternFill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5</xdr:col>
          <xdr:colOff>906780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B8" sqref="B8"/>
    </sheetView>
  </sheetViews>
  <sheetFormatPr defaultRowHeight="17.399999999999999"/>
  <cols>
    <col min="1" max="1" width="5" customWidth="1"/>
    <col min="2" max="2" width="11.8984375" customWidth="1"/>
    <col min="3" max="3" width="13.19921875" customWidth="1"/>
    <col min="4" max="5" width="11.8984375" customWidth="1"/>
    <col min="6" max="6" width="14.5" customWidth="1"/>
    <col min="7" max="7" width="15.398437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9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30" t="s">
        <v>22</v>
      </c>
      <c r="H5" s="30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DAY(DATE(D5,F5,1)-WEEKDAY(DATE(D5,F5,1),2))</f>
        <v>23</v>
      </c>
      <c r="C8" s="3">
        <f>B8+1</f>
        <v>24</v>
      </c>
      <c r="D8" s="3">
        <f t="shared" ref="D8:H8" si="0">C8+1</f>
        <v>25</v>
      </c>
      <c r="E8" s="3">
        <f t="shared" si="0"/>
        <v>26</v>
      </c>
      <c r="F8" s="3">
        <f t="shared" si="0"/>
        <v>27</v>
      </c>
      <c r="G8" s="3">
        <f t="shared" si="0"/>
        <v>28</v>
      </c>
      <c r="H8" s="3">
        <f t="shared" si="0"/>
        <v>29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2"/>
      <c r="C9" s="22"/>
      <c r="D9" s="22"/>
      <c r="E9" s="22"/>
      <c r="F9" s="25" t="s">
        <v>24</v>
      </c>
      <c r="G9" s="31" t="s">
        <v>25</v>
      </c>
      <c r="H9" s="22"/>
      <c r="M9">
        <v>7</v>
      </c>
      <c r="O9" s="5">
        <f>DATE($D$5,3,1)</f>
        <v>45717</v>
      </c>
      <c r="P9" s="6" t="s">
        <v>7</v>
      </c>
    </row>
    <row r="10" spans="2:16" ht="18" customHeight="1">
      <c r="B10" s="23"/>
      <c r="C10" s="23"/>
      <c r="D10" s="23"/>
      <c r="E10" s="23"/>
      <c r="F10" s="26"/>
      <c r="G10" s="23"/>
      <c r="H10" s="23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4"/>
      <c r="C11" s="24"/>
      <c r="D11" s="24"/>
      <c r="E11" s="24"/>
      <c r="F11" s="27"/>
      <c r="G11" s="24"/>
      <c r="H11" s="24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30</v>
      </c>
      <c r="C12" s="4">
        <f>B12+1</f>
        <v>31</v>
      </c>
      <c r="D12" s="4">
        <f t="shared" ref="D12:H12" si="1">C12+1</f>
        <v>32</v>
      </c>
      <c r="E12" s="4">
        <f t="shared" si="1"/>
        <v>33</v>
      </c>
      <c r="F12" s="4">
        <f t="shared" si="1"/>
        <v>34</v>
      </c>
      <c r="G12" s="4">
        <f t="shared" si="1"/>
        <v>35</v>
      </c>
      <c r="H12" s="4">
        <f t="shared" si="1"/>
        <v>36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2"/>
      <c r="C13" s="22"/>
      <c r="D13" s="22"/>
      <c r="E13" s="22"/>
      <c r="F13" s="25" t="s">
        <v>26</v>
      </c>
      <c r="G13" s="22"/>
      <c r="H13" s="22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3"/>
      <c r="C14" s="23"/>
      <c r="D14" s="23"/>
      <c r="E14" s="23"/>
      <c r="F14" s="26"/>
      <c r="G14" s="23"/>
      <c r="H14" s="23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4"/>
      <c r="C15" s="24"/>
      <c r="D15" s="24"/>
      <c r="E15" s="24"/>
      <c r="F15" s="27"/>
      <c r="G15" s="24"/>
      <c r="H15" s="24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37</v>
      </c>
      <c r="C16" s="4">
        <f>B16+1</f>
        <v>38</v>
      </c>
      <c r="D16" s="4">
        <f t="shared" ref="D16:H16" si="2">C16+1</f>
        <v>39</v>
      </c>
      <c r="E16" s="4">
        <f t="shared" si="2"/>
        <v>40</v>
      </c>
      <c r="F16" s="4">
        <f t="shared" si="2"/>
        <v>41</v>
      </c>
      <c r="G16" s="4">
        <f t="shared" si="2"/>
        <v>42</v>
      </c>
      <c r="H16" s="4">
        <f t="shared" si="2"/>
        <v>43</v>
      </c>
      <c r="O16" s="5">
        <f>DATE($D$5,9,27)</f>
        <v>45927</v>
      </c>
      <c r="P16" s="6" t="s">
        <v>18</v>
      </c>
    </row>
    <row r="17" spans="2:16" ht="18" customHeight="1">
      <c r="B17" s="22"/>
      <c r="C17" s="25"/>
      <c r="D17" s="22"/>
      <c r="E17" s="22"/>
      <c r="F17" s="32" t="s">
        <v>27</v>
      </c>
      <c r="G17" s="22"/>
      <c r="H17" s="22"/>
      <c r="O17" s="5">
        <f>DATE($D$5,10,1)</f>
        <v>45931</v>
      </c>
      <c r="P17" s="6" t="s">
        <v>14</v>
      </c>
    </row>
    <row r="18" spans="2:16" ht="18" customHeight="1">
      <c r="B18" s="23"/>
      <c r="C18" s="26"/>
      <c r="D18" s="23"/>
      <c r="E18" s="23"/>
      <c r="F18" s="23"/>
      <c r="G18" s="23"/>
      <c r="H18" s="23"/>
      <c r="O18" s="5">
        <f>DATE($D$5,10,3)</f>
        <v>45933</v>
      </c>
      <c r="P18" s="6" t="s">
        <v>20</v>
      </c>
    </row>
    <row r="19" spans="2:16" ht="18" customHeight="1" thickBot="1">
      <c r="B19" s="23"/>
      <c r="C19" s="26"/>
      <c r="D19" s="23"/>
      <c r="E19" s="23"/>
      <c r="F19" s="23"/>
      <c r="G19" s="23"/>
      <c r="H19" s="23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44</v>
      </c>
      <c r="C20" s="4">
        <f>B20+1</f>
        <v>45</v>
      </c>
      <c r="D20" s="4">
        <f t="shared" ref="D20:H20" si="3">C20+1</f>
        <v>46</v>
      </c>
      <c r="E20" s="4">
        <f t="shared" si="3"/>
        <v>47</v>
      </c>
      <c r="F20" s="4">
        <f t="shared" si="3"/>
        <v>48</v>
      </c>
      <c r="G20" s="4">
        <f t="shared" si="3"/>
        <v>49</v>
      </c>
      <c r="H20" s="4">
        <f t="shared" si="3"/>
        <v>50</v>
      </c>
    </row>
    <row r="21" spans="2:16" ht="18" customHeight="1">
      <c r="B21" s="22"/>
      <c r="C21" s="28"/>
      <c r="D21" s="25"/>
      <c r="E21" s="25"/>
      <c r="F21" s="25" t="s">
        <v>28</v>
      </c>
      <c r="G21" s="25"/>
      <c r="H21" s="20"/>
    </row>
    <row r="22" spans="2:16" ht="18" customHeight="1">
      <c r="B22" s="23"/>
      <c r="C22" s="29"/>
      <c r="D22" s="26"/>
      <c r="E22" s="26"/>
      <c r="F22" s="26"/>
      <c r="G22" s="26"/>
      <c r="H22" s="21"/>
    </row>
    <row r="23" spans="2:16" ht="18" customHeight="1" thickBot="1">
      <c r="B23" s="23"/>
      <c r="C23" s="29"/>
      <c r="D23" s="26"/>
      <c r="E23" s="26"/>
      <c r="F23" s="26"/>
      <c r="G23" s="26"/>
      <c r="H23" s="21"/>
    </row>
    <row r="24" spans="2:16" ht="18" customHeight="1" thickBot="1">
      <c r="B24" s="4">
        <f>H20+1</f>
        <v>51</v>
      </c>
      <c r="C24" s="4">
        <f>B24+1</f>
        <v>52</v>
      </c>
      <c r="D24" s="4">
        <f t="shared" ref="D24:H24" si="4">C24+1</f>
        <v>53</v>
      </c>
      <c r="E24" s="4">
        <f t="shared" si="4"/>
        <v>54</v>
      </c>
      <c r="F24" s="4">
        <f t="shared" si="4"/>
        <v>55</v>
      </c>
      <c r="G24" s="4">
        <f t="shared" si="4"/>
        <v>56</v>
      </c>
      <c r="H24" s="4">
        <f t="shared" si="4"/>
        <v>57</v>
      </c>
    </row>
    <row r="25" spans="2:16" ht="18" customHeight="1">
      <c r="B25" s="22"/>
      <c r="C25" s="32" t="s">
        <v>29</v>
      </c>
      <c r="D25" s="22"/>
      <c r="E25" s="22"/>
      <c r="F25" s="25"/>
      <c r="G25" s="22"/>
      <c r="H25" s="22"/>
    </row>
    <row r="26" spans="2:16" ht="18" customHeight="1">
      <c r="B26" s="23"/>
      <c r="C26" s="23"/>
      <c r="D26" s="23"/>
      <c r="E26" s="23"/>
      <c r="F26" s="26"/>
      <c r="G26" s="23"/>
      <c r="H26" s="23"/>
    </row>
    <row r="27" spans="2:16" ht="18" customHeight="1" thickBot="1">
      <c r="B27" s="24"/>
      <c r="C27" s="24"/>
      <c r="D27" s="24"/>
      <c r="E27" s="24"/>
      <c r="F27" s="27"/>
      <c r="G27" s="24"/>
      <c r="H27" s="24"/>
    </row>
  </sheetData>
  <mergeCells count="36">
    <mergeCell ref="B9:B11"/>
    <mergeCell ref="G5:H5"/>
    <mergeCell ref="G9:G11"/>
    <mergeCell ref="C9:C11"/>
    <mergeCell ref="D9:D11"/>
    <mergeCell ref="E9:E11"/>
    <mergeCell ref="F9:F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conditionalFormatting sqref="B8:H27">
    <cfRule type="expression" dxfId="0" priority="1">
      <formula>MATCH(B8,$O$7:$P$19,0)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5</xdr:col>
                    <xdr:colOff>906780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2025-03-13T05:55:27Z</dcterms:modified>
</cp:coreProperties>
</file>