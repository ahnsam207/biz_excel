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B8" i="11" l="1"/>
  <c r="D24" i="11" l="1"/>
  <c r="E24" i="11" s="1"/>
  <c r="F24" i="11" s="1"/>
  <c r="G24" i="11" s="1"/>
  <c r="H24" i="11" s="1"/>
  <c r="C24" i="11"/>
  <c r="B24" i="11"/>
  <c r="D20" i="11"/>
  <c r="E20" i="11" s="1"/>
  <c r="F20" i="11" s="1"/>
  <c r="G20" i="11" s="1"/>
  <c r="H20" i="11" s="1"/>
  <c r="C20" i="11"/>
  <c r="B20" i="11"/>
  <c r="D16" i="11"/>
  <c r="E16" i="11" s="1"/>
  <c r="F16" i="11" s="1"/>
  <c r="G16" i="11" s="1"/>
  <c r="H16" i="11" s="1"/>
  <c r="C16" i="11"/>
  <c r="B16" i="11"/>
  <c r="D12" i="11"/>
  <c r="E12" i="11" s="1"/>
  <c r="F12" i="11" s="1"/>
  <c r="G12" i="11" s="1"/>
  <c r="H12" i="11" s="1"/>
  <c r="C12" i="11"/>
  <c r="B12" i="11"/>
  <c r="D8" i="11"/>
  <c r="E8" i="11" s="1"/>
  <c r="F8" i="11" s="1"/>
  <c r="G8" i="11" s="1"/>
  <c r="H8" i="11" s="1"/>
  <c r="C8" i="11"/>
  <c r="D5" i="11" l="1"/>
  <c r="F5" i="11"/>
  <c r="G4" i="11"/>
  <c r="H4" i="11" s="1"/>
  <c r="O7" i="11" l="1"/>
  <c r="O19" i="11" l="1"/>
  <c r="O18" i="11"/>
  <c r="O17" i="11"/>
  <c r="O16" i="11"/>
  <c r="O15" i="11"/>
  <c r="O14" i="11"/>
  <c r="O13" i="11"/>
  <c r="O12" i="11"/>
  <c r="O11" i="11"/>
  <c r="O10" i="11"/>
  <c r="O9" i="11"/>
  <c r="O8" i="11"/>
  <c r="J6" i="11"/>
  <c r="J5" i="11"/>
</calcChain>
</file>

<file path=xl/sharedStrings.xml><?xml version="1.0" encoding="utf-8"?>
<sst xmlns="http://schemas.openxmlformats.org/spreadsheetml/2006/main" count="32" uniqueCount="31">
  <si>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</si>
  <si>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</si>
  <si>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</si>
  <si>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</si>
  <si>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</si>
  <si>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</si>
  <si>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</si>
  <si>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</si>
  <si>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</si>
  <si>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</si>
  <si>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</si>
  <si>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</si>
  <si>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</si>
  <si>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</si>
  <si>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</si>
  <si>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</si>
  <si>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</si>
  <si>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</si>
  <si>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</si>
  <si>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</si>
  <si>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</si>
  <si>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</si>
  <si>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</si>
  <si>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</si>
  <si>
    <t>10:00 프로젝트 회의</t>
    <phoneticPr fontId="5" type="noConversion"/>
  </si>
  <si>
    <t>프로젝트 세부 회의</t>
    <phoneticPr fontId="5" type="noConversion"/>
  </si>
  <si>
    <t>12:00 원인터 방문 미팅</t>
    <phoneticPr fontId="5" type="noConversion"/>
  </si>
  <si>
    <t>13:00 팀장님과 프로젝트 협의</t>
    <phoneticPr fontId="5" type="noConversion"/>
  </si>
  <si>
    <t>10:00 신상품 프로모션 기획 발표</t>
    <phoneticPr fontId="5" type="noConversion"/>
  </si>
  <si>
    <t>18:00 프로젝트 보고서 마감</t>
    <phoneticPr fontId="5" type="noConversion"/>
  </si>
  <si>
    <t>16:00 프로젝트 원료 보고회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</si>
</sst>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"/>
    <numFmt numFmtId="177" formatCode="mm&quot;월&quot;\ dd&quot;일&quot;"/>
    <numFmt numFmtId="178" formatCode="[$-F800]dddd\,\ mmmm\ dd\,\ yyyy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vertical="center"/>
    </xf>
    <xf numFmtId="0" fontId="9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</cellXfs>
  <cellStyles count="1">
    <cellStyle name="표준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220980</xdr:rowOff>
        </xdr:from>
        <xdr:to>
          <xdr:col>4</xdr:col>
          <xdr:colOff>0</xdr:colOff>
          <xdr:row>3</xdr:row>
          <xdr:rowOff>7620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</xdr:row>
          <xdr:rowOff>0</xdr:rowOff>
        </xdr:from>
        <xdr:to>
          <xdr:col>5</xdr:col>
          <xdr:colOff>906780</xdr:colOff>
          <xdr:row>3</xdr:row>
          <xdr:rowOff>15240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topLeftCell="A7" zoomScaleNormal="100" workbookViewId="0">
      <selection activeCell="F28" sqref="F28"/>
    </sheetView>
  </sheetViews>
  <sheetFormatPr defaultRowHeight="17.399999999999999"/>
  <cols>
    <col min="1" max="1" width="5" customWidth="1"/>
    <col min="2" max="2" width="11.8984375" customWidth="1"/>
    <col min="3" max="3" width="12.3984375" customWidth="1"/>
    <col min="4" max="5" width="11.8984375" customWidth="1"/>
    <col min="6" max="6" width="12.09765625" customWidth="1"/>
    <col min="7" max="7" width="12.796875" customWidth="1"/>
    <col min="8" max="8" width="11.8984375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>
        <v>3</v>
      </c>
      <c r="G3" s="16"/>
      <c r="H3" s="16"/>
      <c r="M3">
        <v>1</v>
      </c>
    </row>
    <row r="4" spans="2:16" ht="18" customHeight="1">
      <c r="F4" s="17"/>
      <c r="G4" s="18">
        <f ca="1">TODAY()</f>
        <v>45729</v>
      </c>
      <c r="H4" s="18" t="str">
        <f ca="1">CHOOSE(WEEKDAY(G4,2),"월요일","화요일","수요일","목요일","금요일","토요일","일요일")</f>
        <v>목요일</v>
      </c>
      <c r="M4">
        <v>2</v>
      </c>
    </row>
    <row r="5" spans="2:16" ht="35.25" customHeight="1">
      <c r="C5" s="1"/>
      <c r="D5" s="11">
        <f>C3</f>
        <v>2025</v>
      </c>
      <c r="E5" s="13" t="s">
        <v>21</v>
      </c>
      <c r="F5" s="12">
        <f>F3</f>
        <v>3</v>
      </c>
      <c r="G5" s="19" t="s">
        <v>22</v>
      </c>
      <c r="H5" s="19"/>
      <c r="J5" s="2">
        <f>DATE(C3,F3,1)</f>
        <v>45717</v>
      </c>
      <c r="M5">
        <v>3</v>
      </c>
    </row>
    <row r="6" spans="2:16" ht="18" customHeight="1" thickBot="1">
      <c r="J6">
        <f>(WEEKDAY(DATE(C3,F3,1),2))</f>
        <v>6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>DATE($D$5,1,1)</f>
        <v>45658</v>
      </c>
      <c r="P7" s="6" t="s">
        <v>17</v>
      </c>
    </row>
    <row r="8" spans="2:16" ht="18" customHeight="1" thickBot="1">
      <c r="B8" s="3">
        <f>DATE(D5,F5,1)-WEEKDAY(DATE(D5,F5,1),2)</f>
        <v>45711</v>
      </c>
      <c r="C8" s="3">
        <f>B8+1</f>
        <v>45712</v>
      </c>
      <c r="D8" s="3">
        <f t="shared" ref="D8:H8" si="0">C8+1</f>
        <v>45713</v>
      </c>
      <c r="E8" s="3">
        <f t="shared" si="0"/>
        <v>45714</v>
      </c>
      <c r="F8" s="3">
        <f t="shared" si="0"/>
        <v>45715</v>
      </c>
      <c r="G8" s="3">
        <f t="shared" si="0"/>
        <v>45716</v>
      </c>
      <c r="H8" s="3">
        <f t="shared" si="0"/>
        <v>45717</v>
      </c>
      <c r="M8">
        <v>6</v>
      </c>
      <c r="O8" s="5">
        <f>DATE($D$5,2,19)</f>
        <v>45707</v>
      </c>
      <c r="P8" s="6" t="s">
        <v>19</v>
      </c>
    </row>
    <row r="9" spans="2:16" ht="18" customHeight="1">
      <c r="B9" s="20"/>
      <c r="C9" s="20"/>
      <c r="D9" s="20"/>
      <c r="E9" s="20"/>
      <c r="F9" s="23" t="s">
        <v>24</v>
      </c>
      <c r="G9" s="23" t="s">
        <v>25</v>
      </c>
      <c r="H9" s="20"/>
      <c r="M9">
        <v>7</v>
      </c>
      <c r="O9" s="5">
        <f>DATE($D$5,3,1)</f>
        <v>45717</v>
      </c>
      <c r="P9" s="6" t="s">
        <v>7</v>
      </c>
    </row>
    <row r="10" spans="2:16" ht="18" customHeight="1">
      <c r="B10" s="21"/>
      <c r="C10" s="21"/>
      <c r="D10" s="21"/>
      <c r="E10" s="21"/>
      <c r="F10" s="24"/>
      <c r="G10" s="24"/>
      <c r="H10" s="21"/>
      <c r="M10">
        <v>8</v>
      </c>
      <c r="O10" s="5">
        <f>DATE($D$5,4,5)</f>
        <v>45752</v>
      </c>
      <c r="P10" s="6" t="s">
        <v>8</v>
      </c>
    </row>
    <row r="11" spans="2:16" ht="18" customHeight="1" thickBot="1">
      <c r="B11" s="22"/>
      <c r="C11" s="22"/>
      <c r="D11" s="22"/>
      <c r="E11" s="22"/>
      <c r="F11" s="25"/>
      <c r="G11" s="25"/>
      <c r="H11" s="22"/>
      <c r="M11">
        <v>9</v>
      </c>
      <c r="O11" s="5">
        <f>DATE($D$5,5,5)</f>
        <v>45782</v>
      </c>
      <c r="P11" s="6" t="s">
        <v>9</v>
      </c>
    </row>
    <row r="12" spans="2:16" ht="18" customHeight="1" thickBot="1">
      <c r="B12" s="4">
        <f>H8+1</f>
        <v>45718</v>
      </c>
      <c r="C12" s="4">
        <f>B12+1</f>
        <v>45719</v>
      </c>
      <c r="D12" s="4">
        <f t="shared" ref="D12:H12" si="1">C12+1</f>
        <v>45720</v>
      </c>
      <c r="E12" s="4">
        <f t="shared" si="1"/>
        <v>45721</v>
      </c>
      <c r="F12" s="4">
        <f t="shared" si="1"/>
        <v>45722</v>
      </c>
      <c r="G12" s="4">
        <f t="shared" si="1"/>
        <v>45723</v>
      </c>
      <c r="H12" s="4">
        <f t="shared" si="1"/>
        <v>45724</v>
      </c>
      <c r="M12">
        <v>10</v>
      </c>
      <c r="O12" s="5">
        <f>DATE($D$5,5,15)</f>
        <v>45792</v>
      </c>
      <c r="P12" s="6" t="s">
        <v>10</v>
      </c>
    </row>
    <row r="13" spans="2:16" ht="18" customHeight="1">
      <c r="B13" s="20"/>
      <c r="C13" s="20"/>
      <c r="D13" s="20"/>
      <c r="E13" s="20"/>
      <c r="F13" s="23" t="s">
        <v>26</v>
      </c>
      <c r="G13" s="20"/>
      <c r="H13" s="20"/>
      <c r="M13">
        <v>11</v>
      </c>
      <c r="O13" s="5">
        <f>DATE($D$5,6,6)</f>
        <v>45814</v>
      </c>
      <c r="P13" s="6" t="s">
        <v>11</v>
      </c>
    </row>
    <row r="14" spans="2:16" ht="18" customHeight="1">
      <c r="B14" s="21"/>
      <c r="C14" s="21"/>
      <c r="D14" s="21"/>
      <c r="E14" s="21"/>
      <c r="F14" s="24"/>
      <c r="G14" s="21"/>
      <c r="H14" s="21"/>
      <c r="M14">
        <v>12</v>
      </c>
      <c r="O14" s="5">
        <f>DATE($D$5,7,17)</f>
        <v>45855</v>
      </c>
      <c r="P14" s="6" t="s">
        <v>12</v>
      </c>
    </row>
    <row r="15" spans="2:16" ht="18" customHeight="1" thickBot="1">
      <c r="B15" s="22"/>
      <c r="C15" s="22"/>
      <c r="D15" s="22"/>
      <c r="E15" s="22"/>
      <c r="F15" s="25"/>
      <c r="G15" s="22"/>
      <c r="H15" s="22"/>
      <c r="O15" s="5">
        <f>DATE($D$5,8,15)</f>
        <v>45884</v>
      </c>
      <c r="P15" s="6" t="s">
        <v>13</v>
      </c>
    </row>
    <row r="16" spans="2:16" ht="18" customHeight="1" thickBot="1">
      <c r="B16" s="4">
        <f>H12+1</f>
        <v>45725</v>
      </c>
      <c r="C16" s="4">
        <f>B16+1</f>
        <v>45726</v>
      </c>
      <c r="D16" s="4">
        <f t="shared" ref="D16:H16" si="2">C16+1</f>
        <v>45727</v>
      </c>
      <c r="E16" s="4">
        <f t="shared" si="2"/>
        <v>45728</v>
      </c>
      <c r="F16" s="4">
        <f t="shared" si="2"/>
        <v>45729</v>
      </c>
      <c r="G16" s="4">
        <f t="shared" si="2"/>
        <v>45730</v>
      </c>
      <c r="H16" s="4">
        <f t="shared" si="2"/>
        <v>45731</v>
      </c>
      <c r="O16" s="5">
        <f>DATE($D$5,9,27)</f>
        <v>45927</v>
      </c>
      <c r="P16" s="6" t="s">
        <v>18</v>
      </c>
    </row>
    <row r="17" spans="2:16" ht="18" customHeight="1">
      <c r="B17" s="20"/>
      <c r="C17" s="23" t="s">
        <v>27</v>
      </c>
      <c r="D17" s="20"/>
      <c r="E17" s="20"/>
      <c r="F17" s="20"/>
      <c r="G17" s="20"/>
      <c r="H17" s="20"/>
      <c r="O17" s="5">
        <f>DATE($D$5,10,1)</f>
        <v>45931</v>
      </c>
      <c r="P17" s="6" t="s">
        <v>14</v>
      </c>
    </row>
    <row r="18" spans="2:16" ht="18" customHeight="1">
      <c r="B18" s="21"/>
      <c r="C18" s="24"/>
      <c r="D18" s="21"/>
      <c r="E18" s="21"/>
      <c r="F18" s="21"/>
      <c r="G18" s="21"/>
      <c r="H18" s="21"/>
      <c r="O18" s="5">
        <f>DATE($D$5,10,3)</f>
        <v>45933</v>
      </c>
      <c r="P18" s="6" t="s">
        <v>20</v>
      </c>
    </row>
    <row r="19" spans="2:16" ht="18" customHeight="1" thickBot="1">
      <c r="B19" s="21"/>
      <c r="C19" s="24"/>
      <c r="D19" s="21"/>
      <c r="E19" s="21"/>
      <c r="F19" s="21"/>
      <c r="G19" s="21"/>
      <c r="H19" s="21"/>
      <c r="O19" s="5">
        <f>DATE($D$5,12,25)</f>
        <v>46016</v>
      </c>
      <c r="P19" s="6" t="s">
        <v>23</v>
      </c>
    </row>
    <row r="20" spans="2:16" ht="18" customHeight="1" thickBot="1">
      <c r="B20" s="4">
        <f>H16+1</f>
        <v>45732</v>
      </c>
      <c r="C20" s="4">
        <f>B20+1</f>
        <v>45733</v>
      </c>
      <c r="D20" s="4">
        <f t="shared" ref="D20:H20" si="3">C20+1</f>
        <v>45734</v>
      </c>
      <c r="E20" s="4">
        <f t="shared" si="3"/>
        <v>45735</v>
      </c>
      <c r="F20" s="4">
        <f t="shared" si="3"/>
        <v>45736</v>
      </c>
      <c r="G20" s="4">
        <f t="shared" si="3"/>
        <v>45737</v>
      </c>
      <c r="H20" s="4">
        <f t="shared" si="3"/>
        <v>45738</v>
      </c>
    </row>
    <row r="21" spans="2:16" ht="18" customHeight="1">
      <c r="B21" s="20"/>
      <c r="C21" s="28" t="s">
        <v>28</v>
      </c>
      <c r="D21" s="23"/>
      <c r="E21" s="23"/>
      <c r="F21" s="23"/>
      <c r="G21" s="23" t="s">
        <v>29</v>
      </c>
      <c r="H21" s="26"/>
    </row>
    <row r="22" spans="2:16" ht="18" customHeight="1">
      <c r="B22" s="21"/>
      <c r="C22" s="29"/>
      <c r="D22" s="24"/>
      <c r="E22" s="24"/>
      <c r="F22" s="24"/>
      <c r="G22" s="24"/>
      <c r="H22" s="27"/>
    </row>
    <row r="23" spans="2:16" ht="18" customHeight="1" thickBot="1">
      <c r="B23" s="21"/>
      <c r="C23" s="29"/>
      <c r="D23" s="24"/>
      <c r="E23" s="24"/>
      <c r="F23" s="24"/>
      <c r="G23" s="24"/>
      <c r="H23" s="27"/>
    </row>
    <row r="24" spans="2:16" ht="18" customHeight="1" thickBot="1">
      <c r="B24" s="4">
        <f>H20+1</f>
        <v>45739</v>
      </c>
      <c r="C24" s="4">
        <f>B24+1</f>
        <v>45740</v>
      </c>
      <c r="D24" s="4">
        <f t="shared" ref="D24:H24" si="4">C24+1</f>
        <v>45741</v>
      </c>
      <c r="E24" s="4">
        <f t="shared" si="4"/>
        <v>45742</v>
      </c>
      <c r="F24" s="4">
        <f t="shared" si="4"/>
        <v>45743</v>
      </c>
      <c r="G24" s="4">
        <f t="shared" si="4"/>
        <v>45744</v>
      </c>
      <c r="H24" s="4">
        <f t="shared" si="4"/>
        <v>45745</v>
      </c>
    </row>
    <row r="25" spans="2:16" ht="18" customHeight="1">
      <c r="B25" s="20"/>
      <c r="C25" s="20"/>
      <c r="D25" s="20"/>
      <c r="E25" s="20"/>
      <c r="F25" s="23" t="s">
        <v>30</v>
      </c>
      <c r="G25" s="20"/>
      <c r="H25" s="20"/>
    </row>
    <row r="26" spans="2:16" ht="18" customHeight="1">
      <c r="B26" s="21"/>
      <c r="C26" s="21"/>
      <c r="D26" s="21"/>
      <c r="E26" s="21"/>
      <c r="F26" s="24"/>
      <c r="G26" s="21"/>
      <c r="H26" s="21"/>
    </row>
    <row r="27" spans="2:16" ht="18" customHeight="1" thickBot="1">
      <c r="B27" s="22"/>
      <c r="C27" s="22"/>
      <c r="D27" s="22"/>
      <c r="E27" s="22"/>
      <c r="F27" s="25"/>
      <c r="G27" s="22"/>
      <c r="H27" s="22"/>
    </row>
  </sheetData>
  <mergeCells count="36"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G5:H5"/>
    <mergeCell ref="B9:B11"/>
    <mergeCell ref="C9:C11"/>
    <mergeCell ref="D9:D11"/>
    <mergeCell ref="E9:E11"/>
    <mergeCell ref="F9:F11"/>
    <mergeCell ref="G9:G11"/>
    <mergeCell ref="H9:H11"/>
  </mergeCells>
  <phoneticPr fontId="5" type="noConversion"/>
  <conditionalFormatting sqref="B8:H27">
    <cfRule type="expression" dxfId="1" priority="1">
      <formula>MATCH(B8,$O$7:$O$19,0)</formula>
    </cfRule>
  </conditionalFormatting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3</xdr:col>
                    <xdr:colOff>0</xdr:colOff>
                    <xdr:row>1</xdr:row>
                    <xdr:rowOff>220980</xdr:rowOff>
                  </from>
                  <to>
                    <xdr:col>4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5</xdr:col>
                    <xdr:colOff>38100</xdr:colOff>
                    <xdr:row>2</xdr:row>
                    <xdr:rowOff>0</xdr:rowOff>
                  </from>
                  <to>
                    <xdr:col>5</xdr:col>
                    <xdr:colOff>906780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2025-03-13T05:55:17Z</dcterms:modified>
</cp:coreProperties>
</file>